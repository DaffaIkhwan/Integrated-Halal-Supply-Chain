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_L1" sheetId="1" r:id="rId1"/>
    <sheet name="MATRIKS_L1" sheetId="2" r:id="rId2"/>
    <sheet name="NORM_L1" sheetId="3" r:id="rId3"/>
    <sheet name="CR_L1" sheetId="4" r:id="rId4"/>
    <sheet name="FUZZY_L1" sheetId="5" r:id="rId5"/>
    <sheet name="FSE_L1" sheetId="6" r:id="rId6"/>
    <sheet name="INPUT_CP1" sheetId="7" r:id="rId7"/>
    <sheet name="MATRIKS_CP1" sheetId="8" r:id="rId8"/>
    <sheet name="NORM_CP1" sheetId="9" r:id="rId9"/>
    <sheet name="CR_CP1" sheetId="10" r:id="rId10"/>
    <sheet name="FUZZY_CP1" sheetId="11" r:id="rId11"/>
    <sheet name="FSE_CP1" sheetId="12" r:id="rId12"/>
    <sheet name="INPUT_CP2" sheetId="13" r:id="rId13"/>
    <sheet name="MATRIKS_CP2" sheetId="14" r:id="rId14"/>
    <sheet name="NORM_CP2" sheetId="15" r:id="rId15"/>
    <sheet name="CR_CP2" sheetId="16" r:id="rId16"/>
    <sheet name="FUZZY_CP2" sheetId="17" r:id="rId17"/>
    <sheet name="FSE_CP2" sheetId="18" r:id="rId18"/>
    <sheet name="INPUT_CP3" sheetId="19" r:id="rId19"/>
    <sheet name="MATRIKS_CP3" sheetId="20" r:id="rId20"/>
    <sheet name="NORM_CP3" sheetId="21" r:id="rId21"/>
    <sheet name="CR_CP3" sheetId="22" r:id="rId22"/>
    <sheet name="FUZZY_CP3" sheetId="23" r:id="rId23"/>
    <sheet name="FSE_CP3" sheetId="24" r:id="rId24"/>
    <sheet name="INPUT_CP4" sheetId="25" r:id="rId25"/>
    <sheet name="MATRIKS_CP4" sheetId="26" r:id="rId26"/>
    <sheet name="NORM_CP4" sheetId="27" r:id="rId27"/>
    <sheet name="CR_CP4" sheetId="28" r:id="rId28"/>
    <sheet name="FUZZY_CP4" sheetId="29" r:id="rId29"/>
    <sheet name="FSE_CP4" sheetId="30" r:id="rId30"/>
    <sheet name="INPUT_CP5" sheetId="31" r:id="rId31"/>
    <sheet name="MATRIKS_CP5" sheetId="32" r:id="rId32"/>
    <sheet name="NORM_CP5" sheetId="33" r:id="rId33"/>
    <sheet name="CR_CP5" sheetId="34" r:id="rId34"/>
    <sheet name="FUZZY_CP5" sheetId="35" r:id="rId35"/>
    <sheet name="FSE_CP5" sheetId="36" r:id="rId36"/>
    <sheet name="INPUT_CP6" sheetId="37" r:id="rId37"/>
    <sheet name="MATRIKS_CP6" sheetId="38" r:id="rId38"/>
    <sheet name="NORM_CP6" sheetId="39" r:id="rId39"/>
    <sheet name="CR_CP6" sheetId="40" r:id="rId40"/>
    <sheet name="FUZZY_CP6" sheetId="41" r:id="rId41"/>
    <sheet name="FSE_CP6" sheetId="42" r:id="rId42"/>
    <sheet name="INPUT_CP7" sheetId="43" r:id="rId43"/>
    <sheet name="MATRIKS_CP7" sheetId="44" r:id="rId44"/>
    <sheet name="NORM_CP7" sheetId="45" r:id="rId45"/>
    <sheet name="CR_CP7" sheetId="46" r:id="rId46"/>
    <sheet name="FUZZY_CP7" sheetId="47" r:id="rId47"/>
    <sheet name="FSE_CP7" sheetId="48" r:id="rId48"/>
    <sheet name="INPUT_CP8" sheetId="49" r:id="rId49"/>
    <sheet name="MATRIKS_CP8" sheetId="50" r:id="rId50"/>
    <sheet name="NORM_CP8" sheetId="51" r:id="rId51"/>
    <sheet name="CR_CP8" sheetId="52" r:id="rId52"/>
    <sheet name="FUZZY_CP8" sheetId="53" r:id="rId53"/>
    <sheet name="FSE_CP8" sheetId="54" r:id="rId54"/>
    <sheet name="INPUT_CP9" sheetId="55" r:id="rId55"/>
    <sheet name="MATRIKS_CP9" sheetId="56" r:id="rId56"/>
    <sheet name="NORM_CP9" sheetId="57" r:id="rId57"/>
    <sheet name="CR_CP9" sheetId="58" r:id="rId58"/>
    <sheet name="FUZZY_CP9" sheetId="59" r:id="rId59"/>
    <sheet name="FSE_CP9" sheetId="60" r:id="rId6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1 — Antar Critical Point (CP1, CP2, CP3, CP4, CP5, CP6, CP7, CP8, CP9)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CP1</v>
      </c>
      <c r="C5" t="str">
        <v>CP2</v>
      </c>
      <c r="D5" t="str">
        <v>B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CP1</v>
      </c>
      <c r="C6" t="str">
        <v>CP3</v>
      </c>
      <c r="D6" t="str">
        <v>A</v>
      </c>
      <c r="E6">
        <v>7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CP1</v>
      </c>
      <c r="C7" t="str">
        <v>CP4</v>
      </c>
      <c r="D7" t="str">
        <v>B</v>
      </c>
      <c r="E7">
        <v>3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CP1</v>
      </c>
      <c r="C8" t="str">
        <v>CP5</v>
      </c>
      <c r="D8" t="str">
        <v>B</v>
      </c>
      <c r="E8">
        <v>7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CP1</v>
      </c>
      <c r="C9" t="str">
        <v>CP6</v>
      </c>
      <c r="D9" t="str">
        <v>B</v>
      </c>
      <c r="E9">
        <v>7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CP1</v>
      </c>
      <c r="C10" t="str">
        <v>CP7</v>
      </c>
      <c r="D10" t="str">
        <v>B</v>
      </c>
      <c r="E10">
        <v>2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CP1</v>
      </c>
      <c r="C11" t="str">
        <v>CP8</v>
      </c>
      <c r="D11" t="str">
        <v>B</v>
      </c>
      <c r="E11">
        <v>4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CP1</v>
      </c>
      <c r="C12" t="str">
        <v>CP9</v>
      </c>
      <c r="D12" t="str">
        <v>B</v>
      </c>
      <c r="E12">
        <v>4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CP2</v>
      </c>
      <c r="C13" t="str">
        <v>CP3</v>
      </c>
      <c r="D13" t="str">
        <v>A</v>
      </c>
      <c r="E13">
        <v>4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CP2</v>
      </c>
      <c r="C14" t="str">
        <v>CP4</v>
      </c>
      <c r="D14" t="str">
        <v>B</v>
      </c>
      <c r="E14">
        <v>3</v>
      </c>
      <c r="F14">
        <f>IF(E14=1,"Sama Penting",IF(E14=3,"Sedikit Lebih Penting",IF(E14=5,"Lebih Penting",IF(E14=7,"Sangat Lebih Penting",IF(E14=9,"Mutlak Lebih Penting","Nilai Antara")))))</f>
      </c>
    </row>
    <row r="15">
      <c r="A15">
        <v>11</v>
      </c>
      <c r="B15" t="str">
        <v>CP2</v>
      </c>
      <c r="C15" t="str">
        <v>CP5</v>
      </c>
      <c r="D15" t="str">
        <v>B</v>
      </c>
      <c r="E15">
        <v>4</v>
      </c>
      <c r="F15">
        <f>IF(E15=1,"Sama Penting",IF(E15=3,"Sedikit Lebih Penting",IF(E15=5,"Lebih Penting",IF(E15=7,"Sangat Lebih Penting",IF(E15=9,"Mutlak Lebih Penting","Nilai Antara")))))</f>
      </c>
    </row>
    <row r="16">
      <c r="A16">
        <v>12</v>
      </c>
      <c r="B16" t="str">
        <v>CP2</v>
      </c>
      <c r="C16" t="str">
        <v>CP6</v>
      </c>
      <c r="D16" t="str">
        <v>B</v>
      </c>
      <c r="E16">
        <v>4</v>
      </c>
      <c r="F16">
        <f>IF(E16=1,"Sama Penting",IF(E16=3,"Sedikit Lebih Penting",IF(E16=5,"Lebih Penting",IF(E16=7,"Sangat Lebih Penting",IF(E16=9,"Mutlak Lebih Penting","Nilai Antara")))))</f>
      </c>
    </row>
    <row r="17">
      <c r="A17">
        <v>13</v>
      </c>
      <c r="B17" t="str">
        <v>CP2</v>
      </c>
      <c r="C17" t="str">
        <v>CP7</v>
      </c>
      <c r="D17" t="str">
        <v>B</v>
      </c>
      <c r="E17">
        <v>1</v>
      </c>
      <c r="F17">
        <f>IF(E17=1,"Sama Penting",IF(E17=3,"Sedikit Lebih Penting",IF(E17=5,"Lebih Penting",IF(E17=7,"Sangat Lebih Penting",IF(E17=9,"Mutlak Lebih Penting","Nilai Antara")))))</f>
      </c>
    </row>
    <row r="18">
      <c r="A18">
        <v>14</v>
      </c>
      <c r="B18" t="str">
        <v>CP2</v>
      </c>
      <c r="C18" t="str">
        <v>CP8</v>
      </c>
      <c r="D18" t="str">
        <v>B</v>
      </c>
      <c r="E18">
        <v>3</v>
      </c>
      <c r="F18">
        <f>IF(E18=1,"Sama Penting",IF(E18=3,"Sedikit Lebih Penting",IF(E18=5,"Lebih Penting",IF(E18=7,"Sangat Lebih Penting",IF(E18=9,"Mutlak Lebih Penting","Nilai Antara")))))</f>
      </c>
    </row>
    <row r="19">
      <c r="A19">
        <v>15</v>
      </c>
      <c r="B19" t="str">
        <v>CP2</v>
      </c>
      <c r="C19" t="str">
        <v>CP9</v>
      </c>
      <c r="D19" t="str">
        <v>B</v>
      </c>
      <c r="E19">
        <v>1</v>
      </c>
      <c r="F19">
        <f>IF(E19=1,"Sama Penting",IF(E19=3,"Sedikit Lebih Penting",IF(E19=5,"Lebih Penting",IF(E19=7,"Sangat Lebih Penting",IF(E19=9,"Mutlak Lebih Penting","Nilai Antara")))))</f>
      </c>
    </row>
    <row r="20">
      <c r="A20">
        <v>16</v>
      </c>
      <c r="B20" t="str">
        <v>CP3</v>
      </c>
      <c r="C20" t="str">
        <v>CP4</v>
      </c>
      <c r="D20" t="str">
        <v>B</v>
      </c>
      <c r="E20">
        <v>6</v>
      </c>
      <c r="F20">
        <f>IF(E20=1,"Sama Penting",IF(E20=3,"Sedikit Lebih Penting",IF(E20=5,"Lebih Penting",IF(E20=7,"Sangat Lebih Penting",IF(E20=9,"Mutlak Lebih Penting","Nilai Antara")))))</f>
      </c>
    </row>
    <row r="21">
      <c r="A21">
        <v>17</v>
      </c>
      <c r="B21" t="str">
        <v>CP3</v>
      </c>
      <c r="C21" t="str">
        <v>CP5</v>
      </c>
      <c r="D21" t="str">
        <v>B</v>
      </c>
      <c r="E21">
        <v>3</v>
      </c>
      <c r="F21">
        <f>IF(E21=1,"Sama Penting",IF(E21=3,"Sedikit Lebih Penting",IF(E21=5,"Lebih Penting",IF(E21=7,"Sangat Lebih Penting",IF(E21=9,"Mutlak Lebih Penting","Nilai Antara")))))</f>
      </c>
    </row>
    <row r="22">
      <c r="A22">
        <v>18</v>
      </c>
      <c r="B22" t="str">
        <v>CP3</v>
      </c>
      <c r="C22" t="str">
        <v>CP6</v>
      </c>
      <c r="D22" t="str">
        <v>B</v>
      </c>
      <c r="E22">
        <v>4</v>
      </c>
      <c r="F22">
        <f>IF(E22=1,"Sama Penting",IF(E22=3,"Sedikit Lebih Penting",IF(E22=5,"Lebih Penting",IF(E22=7,"Sangat Lebih Penting",IF(E22=9,"Mutlak Lebih Penting","Nilai Antara")))))</f>
      </c>
    </row>
    <row r="23">
      <c r="A23">
        <v>19</v>
      </c>
      <c r="B23" t="str">
        <v>CP3</v>
      </c>
      <c r="C23" t="str">
        <v>CP7</v>
      </c>
      <c r="D23" t="str">
        <v>A</v>
      </c>
      <c r="E23">
        <v>1</v>
      </c>
      <c r="F23">
        <f>IF(E23=1,"Sama Penting",IF(E23=3,"Sedikit Lebih Penting",IF(E23=5,"Lebih Penting",IF(E23=7,"Sangat Lebih Penting",IF(E23=9,"Mutlak Lebih Penting","Nilai Antara")))))</f>
      </c>
    </row>
    <row r="24">
      <c r="A24">
        <v>20</v>
      </c>
      <c r="B24" t="str">
        <v>CP3</v>
      </c>
      <c r="C24" t="str">
        <v>CP8</v>
      </c>
      <c r="D24" t="str">
        <v>A</v>
      </c>
      <c r="E24">
        <v>1</v>
      </c>
      <c r="F24">
        <f>IF(E24=1,"Sama Penting",IF(E24=3,"Sedikit Lebih Penting",IF(E24=5,"Lebih Penting",IF(E24=7,"Sangat Lebih Penting",IF(E24=9,"Mutlak Lebih Penting","Nilai Antara")))))</f>
      </c>
    </row>
    <row r="25">
      <c r="A25">
        <v>21</v>
      </c>
      <c r="B25" t="str">
        <v>CP3</v>
      </c>
      <c r="C25" t="str">
        <v>CP9</v>
      </c>
      <c r="D25" t="str">
        <v>A</v>
      </c>
      <c r="E25">
        <v>2</v>
      </c>
      <c r="F25">
        <f>IF(E25=1,"Sama Penting",IF(E25=3,"Sedikit Lebih Penting",IF(E25=5,"Lebih Penting",IF(E25=7,"Sangat Lebih Penting",IF(E25=9,"Mutlak Lebih Penting","Nilai Antara")))))</f>
      </c>
    </row>
    <row r="26">
      <c r="A26">
        <v>22</v>
      </c>
      <c r="B26" t="str">
        <v>CP4</v>
      </c>
      <c r="C26" t="str">
        <v>CP5</v>
      </c>
      <c r="D26" t="str">
        <v>B</v>
      </c>
      <c r="E26">
        <v>1</v>
      </c>
      <c r="F26">
        <f>IF(E26=1,"Sama Penting",IF(E26=3,"Sedikit Lebih Penting",IF(E26=5,"Lebih Penting",IF(E26=7,"Sangat Lebih Penting",IF(E26=9,"Mutlak Lebih Penting","Nilai Antara")))))</f>
      </c>
    </row>
    <row r="27">
      <c r="A27">
        <v>23</v>
      </c>
      <c r="B27" t="str">
        <v>CP4</v>
      </c>
      <c r="C27" t="str">
        <v>CP6</v>
      </c>
      <c r="D27" t="str">
        <v>B</v>
      </c>
      <c r="E27">
        <v>1</v>
      </c>
      <c r="F27">
        <f>IF(E27=1,"Sama Penting",IF(E27=3,"Sedikit Lebih Penting",IF(E27=5,"Lebih Penting",IF(E27=7,"Sangat Lebih Penting",IF(E27=9,"Mutlak Lebih Penting","Nilai Antara")))))</f>
      </c>
    </row>
    <row r="28">
      <c r="A28">
        <v>24</v>
      </c>
      <c r="B28" t="str">
        <v>CP4</v>
      </c>
      <c r="C28" t="str">
        <v>CP7</v>
      </c>
      <c r="D28" t="str">
        <v>A</v>
      </c>
      <c r="E28">
        <v>1</v>
      </c>
      <c r="F28">
        <f>IF(E28=1,"Sama Penting",IF(E28=3,"Sedikit Lebih Penting",IF(E28=5,"Lebih Penting",IF(E28=7,"Sangat Lebih Penting",IF(E28=9,"Mutlak Lebih Penting","Nilai Antara")))))</f>
      </c>
    </row>
    <row r="29">
      <c r="A29">
        <v>25</v>
      </c>
      <c r="B29" t="str">
        <v>CP4</v>
      </c>
      <c r="C29" t="str">
        <v>CP8</v>
      </c>
      <c r="D29" t="str">
        <v>A</v>
      </c>
      <c r="E29">
        <v>2</v>
      </c>
      <c r="F29">
        <f>IF(E29=1,"Sama Penting",IF(E29=3,"Sedikit Lebih Penting",IF(E29=5,"Lebih Penting",IF(E29=7,"Sangat Lebih Penting",IF(E29=9,"Mutlak Lebih Penting","Nilai Antara")))))</f>
      </c>
    </row>
    <row r="30">
      <c r="A30">
        <v>26</v>
      </c>
      <c r="B30" t="str">
        <v>CP4</v>
      </c>
      <c r="C30" t="str">
        <v>CP9</v>
      </c>
      <c r="D30" t="str">
        <v>A</v>
      </c>
      <c r="E30">
        <v>2</v>
      </c>
      <c r="F30">
        <f>IF(E30=1,"Sama Penting",IF(E30=3,"Sedikit Lebih Penting",IF(E30=5,"Lebih Penting",IF(E30=7,"Sangat Lebih Penting",IF(E30=9,"Mutlak Lebih Penting","Nilai Antara")))))</f>
      </c>
    </row>
    <row r="31">
      <c r="A31">
        <v>27</v>
      </c>
      <c r="B31" t="str">
        <v>CP5</v>
      </c>
      <c r="C31" t="str">
        <v>CP6</v>
      </c>
      <c r="D31" t="str">
        <v>B</v>
      </c>
      <c r="E31">
        <v>1</v>
      </c>
      <c r="F31">
        <f>IF(E31=1,"Sama Penting",IF(E31=3,"Sedikit Lebih Penting",IF(E31=5,"Lebih Penting",IF(E31=7,"Sangat Lebih Penting",IF(E31=9,"Mutlak Lebih Penting","Nilai Antara")))))</f>
      </c>
    </row>
    <row r="32">
      <c r="A32">
        <v>28</v>
      </c>
      <c r="B32" t="str">
        <v>CP5</v>
      </c>
      <c r="C32" t="str">
        <v>CP7</v>
      </c>
      <c r="D32" t="str">
        <v>A</v>
      </c>
      <c r="E32">
        <v>2</v>
      </c>
      <c r="F32">
        <f>IF(E32=1,"Sama Penting",IF(E32=3,"Sedikit Lebih Penting",IF(E32=5,"Lebih Penting",IF(E32=7,"Sangat Lebih Penting",IF(E32=9,"Mutlak Lebih Penting","Nilai Antara")))))</f>
      </c>
    </row>
    <row r="33">
      <c r="A33">
        <v>29</v>
      </c>
      <c r="B33" t="str">
        <v>CP5</v>
      </c>
      <c r="C33" t="str">
        <v>CP8</v>
      </c>
      <c r="D33" t="str">
        <v>A</v>
      </c>
      <c r="E33">
        <v>1</v>
      </c>
      <c r="F33">
        <f>IF(E33=1,"Sama Penting",IF(E33=3,"Sedikit Lebih Penting",IF(E33=5,"Lebih Penting",IF(E33=7,"Sangat Lebih Penting",IF(E33=9,"Mutlak Lebih Penting","Nilai Antara")))))</f>
      </c>
    </row>
    <row r="34">
      <c r="A34">
        <v>30</v>
      </c>
      <c r="B34" t="str">
        <v>CP5</v>
      </c>
      <c r="C34" t="str">
        <v>CP9</v>
      </c>
      <c r="D34" t="str">
        <v>B</v>
      </c>
      <c r="E34">
        <v>1</v>
      </c>
      <c r="F34">
        <f>IF(E34=1,"Sama Penting",IF(E34=3,"Sedikit Lebih Penting",IF(E34=5,"Lebih Penting",IF(E34=7,"Sangat Lebih Penting",IF(E34=9,"Mutlak Lebih Penting","Nilai Antara")))))</f>
      </c>
    </row>
    <row r="35">
      <c r="A35">
        <v>31</v>
      </c>
      <c r="B35" t="str">
        <v>CP6</v>
      </c>
      <c r="C35" t="str">
        <v>CP7</v>
      </c>
      <c r="D35" t="str">
        <v>A</v>
      </c>
      <c r="E35">
        <v>5</v>
      </c>
      <c r="F35">
        <f>IF(E35=1,"Sama Penting",IF(E35=3,"Sedikit Lebih Penting",IF(E35=5,"Lebih Penting",IF(E35=7,"Sangat Lebih Penting",IF(E35=9,"Mutlak Lebih Penting","Nilai Antara")))))</f>
      </c>
    </row>
    <row r="36">
      <c r="A36">
        <v>32</v>
      </c>
      <c r="B36" t="str">
        <v>CP6</v>
      </c>
      <c r="C36" t="str">
        <v>CP8</v>
      </c>
      <c r="D36" t="str">
        <v>A</v>
      </c>
      <c r="E36">
        <v>5</v>
      </c>
      <c r="F36">
        <f>IF(E36=1,"Sama Penting",IF(E36=3,"Sedikit Lebih Penting",IF(E36=5,"Lebih Penting",IF(E36=7,"Sangat Lebih Penting",IF(E36=9,"Mutlak Lebih Penting","Nilai Antara")))))</f>
      </c>
    </row>
    <row r="37">
      <c r="A37">
        <v>33</v>
      </c>
      <c r="B37" t="str">
        <v>CP6</v>
      </c>
      <c r="C37" t="str">
        <v>CP9</v>
      </c>
      <c r="D37" t="str">
        <v>A</v>
      </c>
      <c r="E37">
        <v>6</v>
      </c>
      <c r="F37">
        <f>IF(E37=1,"Sama Penting",IF(E37=3,"Sedikit Lebih Penting",IF(E37=5,"Lebih Penting",IF(E37=7,"Sangat Lebih Penting",IF(E37=9,"Mutlak Lebih Penting","Nilai Antara")))))</f>
      </c>
    </row>
    <row r="38">
      <c r="A38">
        <v>34</v>
      </c>
      <c r="B38" t="str">
        <v>CP7</v>
      </c>
      <c r="C38" t="str">
        <v>CP8</v>
      </c>
      <c r="D38" t="str">
        <v>A</v>
      </c>
      <c r="E38">
        <v>2</v>
      </c>
      <c r="F38">
        <f>IF(E38=1,"Sama Penting",IF(E38=3,"Sedikit Lebih Penting",IF(E38=5,"Lebih Penting",IF(E38=7,"Sangat Lebih Penting",IF(E38=9,"Mutlak Lebih Penting","Nilai Antara")))))</f>
      </c>
    </row>
    <row r="39">
      <c r="A39">
        <v>35</v>
      </c>
      <c r="B39" t="str">
        <v>CP7</v>
      </c>
      <c r="C39" t="str">
        <v>CP9</v>
      </c>
      <c r="D39" t="str">
        <v>B</v>
      </c>
      <c r="E39">
        <v>1</v>
      </c>
      <c r="F39">
        <f>IF(E39=1,"Sama Penting",IF(E39=3,"Sedikit Lebih Penting",IF(E39=5,"Lebih Penting",IF(E39=7,"Sangat Lebih Penting",IF(E39=9,"Mutlak Lebih Penting","Nilai Antara")))))</f>
      </c>
    </row>
    <row r="40">
      <c r="A40">
        <v>36</v>
      </c>
      <c r="B40" t="str">
        <v>CP8</v>
      </c>
      <c r="C40" t="str">
        <v>CP9</v>
      </c>
      <c r="D40" t="str">
        <v>A</v>
      </c>
      <c r="E40">
        <v>2</v>
      </c>
      <c r="F40">
        <f>IF(E40=1,"Sama Penting",IF(E40=3,"Sedikit Lebih Penting",IF(E40=5,"Lebih Penting",IF(E40=7,"Sangat Lebih Penting",IF(E40=9,"Mutlak Lebih Penting","Nilai Antara")))))</f>
      </c>
    </row>
    <row r="43">
      <c r="A43" t="str">
        <v>Tabel Random Index (RI) — Saaty</v>
      </c>
    </row>
    <row r="44">
      <c r="A44" t="str">
        <v>n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</row>
    <row r="45">
      <c r="A45" t="str">
        <v>RI</v>
      </c>
      <c r="B45">
        <v>0</v>
      </c>
      <c r="C45">
        <v>0</v>
      </c>
      <c r="D45">
        <v>0.58</v>
      </c>
      <c r="E45">
        <v>0.9</v>
      </c>
      <c r="F45">
        <v>1.12</v>
      </c>
      <c r="G45">
        <v>1.24</v>
      </c>
      <c r="H45">
        <v>1.32</v>
      </c>
      <c r="I45">
        <v>1.41</v>
      </c>
      <c r="J45">
        <v>1.45</v>
      </c>
      <c r="K45">
        <v>1.49</v>
      </c>
    </row>
    <row r="47">
      <c r="A47" t="str">
        <v>Skala Saaty → TFN (Triangular Fuzzy Number)</v>
      </c>
    </row>
    <row r="48">
      <c r="A48" t="str">
        <v>Skala</v>
      </c>
      <c r="B48" t="str">
        <v>l</v>
      </c>
      <c r="C48" t="str">
        <v>m</v>
      </c>
      <c r="D48" t="str">
        <v>u</v>
      </c>
    </row>
    <row r="49">
      <c r="A49">
        <v>1</v>
      </c>
      <c r="B49">
        <v>1</v>
      </c>
      <c r="C49">
        <v>1</v>
      </c>
      <c r="D49">
        <v>1</v>
      </c>
    </row>
    <row r="50">
      <c r="A50">
        <v>2</v>
      </c>
      <c r="B50">
        <v>1</v>
      </c>
      <c r="C50">
        <v>2</v>
      </c>
      <c r="D50">
        <v>3</v>
      </c>
    </row>
    <row r="51">
      <c r="A51">
        <v>3</v>
      </c>
      <c r="B51">
        <v>1</v>
      </c>
      <c r="C51">
        <v>3</v>
      </c>
      <c r="D51">
        <v>5</v>
      </c>
    </row>
    <row r="52">
      <c r="A52">
        <v>4</v>
      </c>
      <c r="B52">
        <v>3</v>
      </c>
      <c r="C52">
        <v>4</v>
      </c>
      <c r="D52">
        <v>5</v>
      </c>
    </row>
    <row r="53">
      <c r="A53">
        <v>5</v>
      </c>
      <c r="B53">
        <v>3</v>
      </c>
      <c r="C53">
        <v>5</v>
      </c>
      <c r="D53">
        <v>7</v>
      </c>
    </row>
    <row r="54">
      <c r="A54">
        <v>6</v>
      </c>
      <c r="B54">
        <v>5</v>
      </c>
      <c r="C54">
        <v>6</v>
      </c>
      <c r="D54">
        <v>7</v>
      </c>
    </row>
    <row r="55">
      <c r="A55">
        <v>7</v>
      </c>
      <c r="B55">
        <v>5</v>
      </c>
      <c r="C55">
        <v>7</v>
      </c>
      <c r="D55">
        <v>9</v>
      </c>
    </row>
    <row r="56">
      <c r="A56">
        <v>8</v>
      </c>
      <c r="B56">
        <v>7</v>
      </c>
      <c r="C56">
        <v>8</v>
      </c>
      <c r="D56">
        <v>9</v>
      </c>
    </row>
    <row r="57">
      <c r="A57">
        <v>9</v>
      </c>
      <c r="B57">
        <v>7</v>
      </c>
      <c r="C57">
        <v>9</v>
      </c>
      <c r="D57">
        <v>9</v>
      </c>
    </row>
  </sheetData>
  <ignoredErrors>
    <ignoredError numberStoredAsText="1" sqref="A1:K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MATRIKS PERBANDINGAN BERPASANGAN — Level 1 — Antar Critical Point (CP1, CP2, CP3, CP4, CP5, CP6, CP7, CP8, CP9)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CP1</v>
      </c>
      <c r="C5" t="str">
        <v>CP2</v>
      </c>
      <c r="D5" t="str">
        <v>CP3</v>
      </c>
      <c r="E5" t="str">
        <v>CP4</v>
      </c>
      <c r="F5" t="str">
        <v>CP5</v>
      </c>
      <c r="G5" t="str">
        <v>CP6</v>
      </c>
      <c r="H5" t="str">
        <v>CP7</v>
      </c>
      <c r="I5" t="str">
        <v>CP8</v>
      </c>
      <c r="J5" t="str">
        <v>CP9</v>
      </c>
    </row>
    <row r="6">
      <c r="A6" t="str">
        <v>CP1</v>
      </c>
      <c r="B6">
        <v>1</v>
      </c>
      <c r="C6">
        <f>IF('INPUT_L1'!D5="A",'INPUT_L1'!E5,1/'INPUT_L1'!E5)</f>
      </c>
      <c r="D6">
        <f>IF('INPUT_L1'!D6="A",'INPUT_L1'!E6,1/'INPUT_L1'!E6)</f>
      </c>
      <c r="E6">
        <f>IF('INPUT_L1'!D7="A",'INPUT_L1'!E7,1/'INPUT_L1'!E7)</f>
      </c>
      <c r="F6">
        <f>IF('INPUT_L1'!D8="A",'INPUT_L1'!E8,1/'INPUT_L1'!E8)</f>
      </c>
      <c r="G6">
        <f>IF('INPUT_L1'!D9="A",'INPUT_L1'!E9,1/'INPUT_L1'!E9)</f>
      </c>
      <c r="H6">
        <f>IF('INPUT_L1'!D10="A",'INPUT_L1'!E10,1/'INPUT_L1'!E10)</f>
      </c>
      <c r="I6">
        <f>IF('INPUT_L1'!D11="A",'INPUT_L1'!E11,1/'INPUT_L1'!E11)</f>
      </c>
      <c r="J6">
        <f>IF('INPUT_L1'!D12="A",'INPUT_L1'!E12,1/'INPUT_L1'!E12)</f>
      </c>
    </row>
    <row r="7">
      <c r="A7" t="str">
        <v>CP2</v>
      </c>
      <c r="B7">
        <f>1/C6</f>
      </c>
      <c r="C7">
        <v>1</v>
      </c>
      <c r="D7">
        <f>IF('INPUT_L1'!D13="A",'INPUT_L1'!E13,1/'INPUT_L1'!E13)</f>
      </c>
      <c r="E7">
        <f>IF('INPUT_L1'!D14="A",'INPUT_L1'!E14,1/'INPUT_L1'!E14)</f>
      </c>
      <c r="F7">
        <f>IF('INPUT_L1'!D15="A",'INPUT_L1'!E15,1/'INPUT_L1'!E15)</f>
      </c>
      <c r="G7">
        <f>IF('INPUT_L1'!D16="A",'INPUT_L1'!E16,1/'INPUT_L1'!E16)</f>
      </c>
      <c r="H7">
        <f>IF('INPUT_L1'!D17="A",'INPUT_L1'!E17,1/'INPUT_L1'!E17)</f>
      </c>
      <c r="I7">
        <f>IF('INPUT_L1'!D18="A",'INPUT_L1'!E18,1/'INPUT_L1'!E18)</f>
      </c>
      <c r="J7">
        <f>IF('INPUT_L1'!D19="A",'INPUT_L1'!E19,1/'INPUT_L1'!E19)</f>
      </c>
    </row>
    <row r="8">
      <c r="A8" t="str">
        <v>CP3</v>
      </c>
      <c r="B8">
        <f>1/D6</f>
      </c>
      <c r="C8">
        <f>1/D7</f>
      </c>
      <c r="D8">
        <v>1</v>
      </c>
      <c r="E8">
        <f>IF('INPUT_L1'!D20="A",'INPUT_L1'!E20,1/'INPUT_L1'!E20)</f>
      </c>
      <c r="F8">
        <f>IF('INPUT_L1'!D21="A",'INPUT_L1'!E21,1/'INPUT_L1'!E21)</f>
      </c>
      <c r="G8">
        <f>IF('INPUT_L1'!D22="A",'INPUT_L1'!E22,1/'INPUT_L1'!E22)</f>
      </c>
      <c r="H8">
        <f>IF('INPUT_L1'!D23="A",'INPUT_L1'!E23,1/'INPUT_L1'!E23)</f>
      </c>
      <c r="I8">
        <f>IF('INPUT_L1'!D24="A",'INPUT_L1'!E24,1/'INPUT_L1'!E24)</f>
      </c>
      <c r="J8">
        <f>IF('INPUT_L1'!D25="A",'INPUT_L1'!E25,1/'INPUT_L1'!E25)</f>
      </c>
    </row>
    <row r="9">
      <c r="A9" t="str">
        <v>CP4</v>
      </c>
      <c r="B9">
        <f>1/E6</f>
      </c>
      <c r="C9">
        <f>1/E7</f>
      </c>
      <c r="D9">
        <f>1/E8</f>
      </c>
      <c r="E9">
        <v>1</v>
      </c>
      <c r="F9">
        <f>IF('INPUT_L1'!D26="A",'INPUT_L1'!E26,1/'INPUT_L1'!E26)</f>
      </c>
      <c r="G9">
        <f>IF('INPUT_L1'!D27="A",'INPUT_L1'!E27,1/'INPUT_L1'!E27)</f>
      </c>
      <c r="H9">
        <f>IF('INPUT_L1'!D28="A",'INPUT_L1'!E28,1/'INPUT_L1'!E28)</f>
      </c>
      <c r="I9">
        <f>IF('INPUT_L1'!D29="A",'INPUT_L1'!E29,1/'INPUT_L1'!E29)</f>
      </c>
      <c r="J9">
        <f>IF('INPUT_L1'!D30="A",'INPUT_L1'!E30,1/'INPUT_L1'!E30)</f>
      </c>
    </row>
    <row r="10">
      <c r="A10" t="str">
        <v>CP5</v>
      </c>
      <c r="B10">
        <f>1/F6</f>
      </c>
      <c r="C10">
        <f>1/F7</f>
      </c>
      <c r="D10">
        <f>1/F8</f>
      </c>
      <c r="E10">
        <f>1/F9</f>
      </c>
      <c r="F10">
        <v>1</v>
      </c>
      <c r="G10">
        <f>IF('INPUT_L1'!D31="A",'INPUT_L1'!E31,1/'INPUT_L1'!E31)</f>
      </c>
      <c r="H10">
        <f>IF('INPUT_L1'!D32="A",'INPUT_L1'!E32,1/'INPUT_L1'!E32)</f>
      </c>
      <c r="I10">
        <f>IF('INPUT_L1'!D33="A",'INPUT_L1'!E33,1/'INPUT_L1'!E33)</f>
      </c>
      <c r="J10">
        <f>IF('INPUT_L1'!D34="A",'INPUT_L1'!E34,1/'INPUT_L1'!E34)</f>
      </c>
    </row>
    <row r="11">
      <c r="A11" t="str">
        <v>CP6</v>
      </c>
      <c r="B11">
        <f>1/G6</f>
      </c>
      <c r="C11">
        <f>1/G7</f>
      </c>
      <c r="D11">
        <f>1/G8</f>
      </c>
      <c r="E11">
        <f>1/G9</f>
      </c>
      <c r="F11">
        <f>1/G10</f>
      </c>
      <c r="G11">
        <v>1</v>
      </c>
      <c r="H11">
        <f>IF('INPUT_L1'!D35="A",'INPUT_L1'!E35,1/'INPUT_L1'!E35)</f>
      </c>
      <c r="I11">
        <f>IF('INPUT_L1'!D36="A",'INPUT_L1'!E36,1/'INPUT_L1'!E36)</f>
      </c>
      <c r="J11">
        <f>IF('INPUT_L1'!D37="A",'INPUT_L1'!E37,1/'INPUT_L1'!E37)</f>
      </c>
    </row>
    <row r="12">
      <c r="A12" t="str">
        <v>CP7</v>
      </c>
      <c r="B12">
        <f>1/H6</f>
      </c>
      <c r="C12">
        <f>1/H7</f>
      </c>
      <c r="D12">
        <f>1/H8</f>
      </c>
      <c r="E12">
        <f>1/H9</f>
      </c>
      <c r="F12">
        <f>1/H10</f>
      </c>
      <c r="G12">
        <f>1/H11</f>
      </c>
      <c r="H12">
        <v>1</v>
      </c>
      <c r="I12">
        <f>IF('INPUT_L1'!D38="A",'INPUT_L1'!E38,1/'INPUT_L1'!E38)</f>
      </c>
      <c r="J12">
        <f>IF('INPUT_L1'!D39="A",'INPUT_L1'!E39,1/'INPUT_L1'!E39)</f>
      </c>
    </row>
    <row r="13">
      <c r="A13" t="str">
        <v>CP8</v>
      </c>
      <c r="B13">
        <f>1/I6</f>
      </c>
      <c r="C13">
        <f>1/I7</f>
      </c>
      <c r="D13">
        <f>1/I8</f>
      </c>
      <c r="E13">
        <f>1/I9</f>
      </c>
      <c r="F13">
        <f>1/I10</f>
      </c>
      <c r="G13">
        <f>1/I11</f>
      </c>
      <c r="H13">
        <f>1/I12</f>
      </c>
      <c r="I13">
        <v>1</v>
      </c>
      <c r="J13">
        <f>IF('INPUT_L1'!D40="A",'INPUT_L1'!E40,1/'INPUT_L1'!E40)</f>
      </c>
    </row>
    <row r="14">
      <c r="A14" t="str">
        <v>CP9</v>
      </c>
      <c r="B14">
        <f>1/J6</f>
      </c>
      <c r="C14">
        <f>1/J7</f>
      </c>
      <c r="D14">
        <f>1/J8</f>
      </c>
      <c r="E14">
        <f>1/J9</f>
      </c>
      <c r="F14">
        <f>1/J10</f>
      </c>
      <c r="G14">
        <f>1/J11</f>
      </c>
      <c r="H14">
        <f>1/J12</f>
      </c>
      <c r="I14">
        <f>1/J13</f>
      </c>
      <c r="J14">
        <v>1</v>
      </c>
    </row>
    <row r="16">
      <c r="A16" t="str">
        <v>Jumlah Kolom</v>
      </c>
      <c r="B16">
        <f>SUM(B7:B15)</f>
      </c>
      <c r="C16">
        <f>SUM(C7:C15)</f>
      </c>
      <c r="D16">
        <f>SUM(D7:D15)</f>
      </c>
      <c r="E16">
        <f>SUM(E7:E15)</f>
      </c>
      <c r="F16">
        <f>SUM(F7:F15)</f>
      </c>
      <c r="G16">
        <f>SUM(G7:G15)</f>
      </c>
      <c r="H16">
        <f>SUM(H7:H15)</f>
      </c>
      <c r="I16">
        <f>SUM(I7:I15)</f>
      </c>
      <c r="J16">
        <f>SUM(J7:J15)</f>
      </c>
    </row>
  </sheetData>
  <ignoredErrors>
    <ignoredError numberStoredAsText="1" sqref="A1:K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8.83203125" customWidth="1"/>
  </cols>
  <sheetData>
    <row r="1">
      <c r="A1" t="str">
        <v>NORMALISASI &amp; BOBOT PRIORITAS — Level 1 — Antar Critical Point (CP1, CP2, CP3, CP4, CP5, CP6, CP7, CP8, CP9)</v>
      </c>
    </row>
    <row r="2">
      <c r="A2" t="str">
        <v>Normalisasi kolom: setiap sel dibagi jumlah kolomnya</v>
      </c>
    </row>
    <row r="4">
      <c r="A4" t="str">
        <v/>
      </c>
      <c r="B4" t="str">
        <v>CP1</v>
      </c>
      <c r="C4" t="str">
        <v>CP2</v>
      </c>
      <c r="D4" t="str">
        <v>CP3</v>
      </c>
      <c r="E4" t="str">
        <v>CP4</v>
      </c>
      <c r="F4" t="str">
        <v>CP5</v>
      </c>
      <c r="G4" t="str">
        <v>CP6</v>
      </c>
      <c r="H4" t="str">
        <v>CP7</v>
      </c>
      <c r="I4" t="str">
        <v>CP8</v>
      </c>
      <c r="J4" t="str">
        <v>CP9</v>
      </c>
      <c r="K4" t="str">
        <v>Rata-rata (Bobot)</v>
      </c>
    </row>
    <row r="5">
      <c r="A5" t="str">
        <v>CP1</v>
      </c>
      <c r="B5">
        <f>'MATRIKS_L1'!B6/'MATRIKS_L1'!B16</f>
      </c>
      <c r="C5">
        <f>'MATRIKS_L1'!C6/'MATRIKS_L1'!C16</f>
      </c>
      <c r="D5">
        <f>'MATRIKS_L1'!D6/'MATRIKS_L1'!D16</f>
      </c>
      <c r="E5">
        <f>'MATRIKS_L1'!E6/'MATRIKS_L1'!E16</f>
      </c>
      <c r="F5">
        <f>'MATRIKS_L1'!F6/'MATRIKS_L1'!F16</f>
      </c>
      <c r="G5">
        <f>'MATRIKS_L1'!G6/'MATRIKS_L1'!G16</f>
      </c>
      <c r="H5">
        <f>'MATRIKS_L1'!H6/'MATRIKS_L1'!H16</f>
      </c>
      <c r="I5">
        <f>'MATRIKS_L1'!I6/'MATRIKS_L1'!I16</f>
      </c>
      <c r="J5">
        <f>'MATRIKS_L1'!J6/'MATRIKS_L1'!J16</f>
      </c>
      <c r="K5">
        <f>AVERAGE(B5:J5)</f>
      </c>
    </row>
    <row r="6">
      <c r="A6" t="str">
        <v>CP2</v>
      </c>
      <c r="B6">
        <f>'MATRIKS_L1'!B7/'MATRIKS_L1'!B16</f>
      </c>
      <c r="C6">
        <f>'MATRIKS_L1'!C7/'MATRIKS_L1'!C16</f>
      </c>
      <c r="D6">
        <f>'MATRIKS_L1'!D7/'MATRIKS_L1'!D16</f>
      </c>
      <c r="E6">
        <f>'MATRIKS_L1'!E7/'MATRIKS_L1'!E16</f>
      </c>
      <c r="F6">
        <f>'MATRIKS_L1'!F7/'MATRIKS_L1'!F16</f>
      </c>
      <c r="G6">
        <f>'MATRIKS_L1'!G7/'MATRIKS_L1'!G16</f>
      </c>
      <c r="H6">
        <f>'MATRIKS_L1'!H7/'MATRIKS_L1'!H16</f>
      </c>
      <c r="I6">
        <f>'MATRIKS_L1'!I7/'MATRIKS_L1'!I16</f>
      </c>
      <c r="J6">
        <f>'MATRIKS_L1'!J7/'MATRIKS_L1'!J16</f>
      </c>
      <c r="K6">
        <f>AVERAGE(B6:J6)</f>
      </c>
    </row>
    <row r="7">
      <c r="A7" t="str">
        <v>CP3</v>
      </c>
      <c r="B7">
        <f>'MATRIKS_L1'!B8/'MATRIKS_L1'!B16</f>
      </c>
      <c r="C7">
        <f>'MATRIKS_L1'!C8/'MATRIKS_L1'!C16</f>
      </c>
      <c r="D7">
        <f>'MATRIKS_L1'!D8/'MATRIKS_L1'!D16</f>
      </c>
      <c r="E7">
        <f>'MATRIKS_L1'!E8/'MATRIKS_L1'!E16</f>
      </c>
      <c r="F7">
        <f>'MATRIKS_L1'!F8/'MATRIKS_L1'!F16</f>
      </c>
      <c r="G7">
        <f>'MATRIKS_L1'!G8/'MATRIKS_L1'!G16</f>
      </c>
      <c r="H7">
        <f>'MATRIKS_L1'!H8/'MATRIKS_L1'!H16</f>
      </c>
      <c r="I7">
        <f>'MATRIKS_L1'!I8/'MATRIKS_L1'!I16</f>
      </c>
      <c r="J7">
        <f>'MATRIKS_L1'!J8/'MATRIKS_L1'!J16</f>
      </c>
      <c r="K7">
        <f>AVERAGE(B7:J7)</f>
      </c>
    </row>
    <row r="8">
      <c r="A8" t="str">
        <v>CP4</v>
      </c>
      <c r="B8">
        <f>'MATRIKS_L1'!B9/'MATRIKS_L1'!B16</f>
      </c>
      <c r="C8">
        <f>'MATRIKS_L1'!C9/'MATRIKS_L1'!C16</f>
      </c>
      <c r="D8">
        <f>'MATRIKS_L1'!D9/'MATRIKS_L1'!D16</f>
      </c>
      <c r="E8">
        <f>'MATRIKS_L1'!E9/'MATRIKS_L1'!E16</f>
      </c>
      <c r="F8">
        <f>'MATRIKS_L1'!F9/'MATRIKS_L1'!F16</f>
      </c>
      <c r="G8">
        <f>'MATRIKS_L1'!G9/'MATRIKS_L1'!G16</f>
      </c>
      <c r="H8">
        <f>'MATRIKS_L1'!H9/'MATRIKS_L1'!H16</f>
      </c>
      <c r="I8">
        <f>'MATRIKS_L1'!I9/'MATRIKS_L1'!I16</f>
      </c>
      <c r="J8">
        <f>'MATRIKS_L1'!J9/'MATRIKS_L1'!J16</f>
      </c>
      <c r="K8">
        <f>AVERAGE(B8:J8)</f>
      </c>
    </row>
    <row r="9">
      <c r="A9" t="str">
        <v>CP5</v>
      </c>
      <c r="B9">
        <f>'MATRIKS_L1'!B10/'MATRIKS_L1'!B16</f>
      </c>
      <c r="C9">
        <f>'MATRIKS_L1'!C10/'MATRIKS_L1'!C16</f>
      </c>
      <c r="D9">
        <f>'MATRIKS_L1'!D10/'MATRIKS_L1'!D16</f>
      </c>
      <c r="E9">
        <f>'MATRIKS_L1'!E10/'MATRIKS_L1'!E16</f>
      </c>
      <c r="F9">
        <f>'MATRIKS_L1'!F10/'MATRIKS_L1'!F16</f>
      </c>
      <c r="G9">
        <f>'MATRIKS_L1'!G10/'MATRIKS_L1'!G16</f>
      </c>
      <c r="H9">
        <f>'MATRIKS_L1'!H10/'MATRIKS_L1'!H16</f>
      </c>
      <c r="I9">
        <f>'MATRIKS_L1'!I10/'MATRIKS_L1'!I16</f>
      </c>
      <c r="J9">
        <f>'MATRIKS_L1'!J10/'MATRIKS_L1'!J16</f>
      </c>
      <c r="K9">
        <f>AVERAGE(B9:J9)</f>
      </c>
    </row>
    <row r="10">
      <c r="A10" t="str">
        <v>CP6</v>
      </c>
      <c r="B10">
        <f>'MATRIKS_L1'!B11/'MATRIKS_L1'!B16</f>
      </c>
      <c r="C10">
        <f>'MATRIKS_L1'!C11/'MATRIKS_L1'!C16</f>
      </c>
      <c r="D10">
        <f>'MATRIKS_L1'!D11/'MATRIKS_L1'!D16</f>
      </c>
      <c r="E10">
        <f>'MATRIKS_L1'!E11/'MATRIKS_L1'!E16</f>
      </c>
      <c r="F10">
        <f>'MATRIKS_L1'!F11/'MATRIKS_L1'!F16</f>
      </c>
      <c r="G10">
        <f>'MATRIKS_L1'!G11/'MATRIKS_L1'!G16</f>
      </c>
      <c r="H10">
        <f>'MATRIKS_L1'!H11/'MATRIKS_L1'!H16</f>
      </c>
      <c r="I10">
        <f>'MATRIKS_L1'!I11/'MATRIKS_L1'!I16</f>
      </c>
      <c r="J10">
        <f>'MATRIKS_L1'!J11/'MATRIKS_L1'!J16</f>
      </c>
      <c r="K10">
        <f>AVERAGE(B10:J10)</f>
      </c>
    </row>
    <row r="11">
      <c r="A11" t="str">
        <v>CP7</v>
      </c>
      <c r="B11">
        <f>'MATRIKS_L1'!B12/'MATRIKS_L1'!B16</f>
      </c>
      <c r="C11">
        <f>'MATRIKS_L1'!C12/'MATRIKS_L1'!C16</f>
      </c>
      <c r="D11">
        <f>'MATRIKS_L1'!D12/'MATRIKS_L1'!D16</f>
      </c>
      <c r="E11">
        <f>'MATRIKS_L1'!E12/'MATRIKS_L1'!E16</f>
      </c>
      <c r="F11">
        <f>'MATRIKS_L1'!F12/'MATRIKS_L1'!F16</f>
      </c>
      <c r="G11">
        <f>'MATRIKS_L1'!G12/'MATRIKS_L1'!G16</f>
      </c>
      <c r="H11">
        <f>'MATRIKS_L1'!H12/'MATRIKS_L1'!H16</f>
      </c>
      <c r="I11">
        <f>'MATRIKS_L1'!I12/'MATRIKS_L1'!I16</f>
      </c>
      <c r="J11">
        <f>'MATRIKS_L1'!J12/'MATRIKS_L1'!J16</f>
      </c>
      <c r="K11">
        <f>AVERAGE(B11:J11)</f>
      </c>
    </row>
    <row r="12">
      <c r="A12" t="str">
        <v>CP8</v>
      </c>
      <c r="B12">
        <f>'MATRIKS_L1'!B13/'MATRIKS_L1'!B16</f>
      </c>
      <c r="C12">
        <f>'MATRIKS_L1'!C13/'MATRIKS_L1'!C16</f>
      </c>
      <c r="D12">
        <f>'MATRIKS_L1'!D13/'MATRIKS_L1'!D16</f>
      </c>
      <c r="E12">
        <f>'MATRIKS_L1'!E13/'MATRIKS_L1'!E16</f>
      </c>
      <c r="F12">
        <f>'MATRIKS_L1'!F13/'MATRIKS_L1'!F16</f>
      </c>
      <c r="G12">
        <f>'MATRIKS_L1'!G13/'MATRIKS_L1'!G16</f>
      </c>
      <c r="H12">
        <f>'MATRIKS_L1'!H13/'MATRIKS_L1'!H16</f>
      </c>
      <c r="I12">
        <f>'MATRIKS_L1'!I13/'MATRIKS_L1'!I16</f>
      </c>
      <c r="J12">
        <f>'MATRIKS_L1'!J13/'MATRIKS_L1'!J16</f>
      </c>
      <c r="K12">
        <f>AVERAGE(B12:J12)</f>
      </c>
    </row>
    <row r="13">
      <c r="A13" t="str">
        <v>CP9</v>
      </c>
      <c r="B13">
        <f>'MATRIKS_L1'!B14/'MATRIKS_L1'!B16</f>
      </c>
      <c r="C13">
        <f>'MATRIKS_L1'!C14/'MATRIKS_L1'!C16</f>
      </c>
      <c r="D13">
        <f>'MATRIKS_L1'!D14/'MATRIKS_L1'!D16</f>
      </c>
      <c r="E13">
        <f>'MATRIKS_L1'!E14/'MATRIKS_L1'!E16</f>
      </c>
      <c r="F13">
        <f>'MATRIKS_L1'!F14/'MATRIKS_L1'!F16</f>
      </c>
      <c r="G13">
        <f>'MATRIKS_L1'!G14/'MATRIKS_L1'!G16</f>
      </c>
      <c r="H13">
        <f>'MATRIKS_L1'!H14/'MATRIKS_L1'!H16</f>
      </c>
      <c r="I13">
        <f>'MATRIKS_L1'!I14/'MATRIKS_L1'!I16</f>
      </c>
      <c r="J13">
        <f>'MATRIKS_L1'!J14/'MATRIKS_L1'!J16</f>
      </c>
      <c r="K13">
        <f>AVERAGE(B13:J13)</f>
      </c>
    </row>
    <row r="15">
      <c r="J15" t="str">
        <v>Total</v>
      </c>
      <c r="K15">
        <f>SUM(K5:K13)</f>
      </c>
    </row>
  </sheetData>
  <ignoredErrors>
    <ignoredError numberStoredAsText="1" sqref="A1:L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1 — Antar Critical Point (CP1, CP2, CP3, CP4, CP5, CP6, CP7, CP8, CP9)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CP1</v>
      </c>
      <c r="B6">
        <f>'NORM_L1'!K5</f>
      </c>
      <c r="C6">
        <f>SUMPRODUCT('MATRIKS_L1'!B6:'MATRIKS_L1'!J6,$B6:$B14)</f>
      </c>
      <c r="D6">
        <f>C6/B6</f>
      </c>
    </row>
    <row r="7">
      <c r="A7" t="str">
        <v>CP2</v>
      </c>
      <c r="B7">
        <f>'NORM_L1'!K6</f>
      </c>
      <c r="C7">
        <f>SUMPRODUCT('MATRIKS_L1'!B7:'MATRIKS_L1'!J7,$B6:$B14)</f>
      </c>
      <c r="D7">
        <f>C7/B7</f>
      </c>
    </row>
    <row r="8">
      <c r="A8" t="str">
        <v>CP3</v>
      </c>
      <c r="B8">
        <f>'NORM_L1'!K7</f>
      </c>
      <c r="C8">
        <f>SUMPRODUCT('MATRIKS_L1'!B8:'MATRIKS_L1'!J8,$B6:$B14)</f>
      </c>
      <c r="D8">
        <f>C8/B8</f>
      </c>
    </row>
    <row r="9">
      <c r="A9" t="str">
        <v>CP4</v>
      </c>
      <c r="B9">
        <f>'NORM_L1'!K8</f>
      </c>
      <c r="C9">
        <f>SUMPRODUCT('MATRIKS_L1'!B9:'MATRIKS_L1'!J9,$B6:$B14)</f>
      </c>
      <c r="D9">
        <f>C9/B9</f>
      </c>
    </row>
    <row r="10">
      <c r="A10" t="str">
        <v>CP5</v>
      </c>
      <c r="B10">
        <f>'NORM_L1'!K9</f>
      </c>
      <c r="C10">
        <f>SUMPRODUCT('MATRIKS_L1'!B10:'MATRIKS_L1'!J10,$B6:$B14)</f>
      </c>
      <c r="D10">
        <f>C10/B10</f>
      </c>
    </row>
    <row r="11">
      <c r="A11" t="str">
        <v>CP6</v>
      </c>
      <c r="B11">
        <f>'NORM_L1'!K10</f>
      </c>
      <c r="C11">
        <f>SUMPRODUCT('MATRIKS_L1'!B11:'MATRIKS_L1'!J11,$B6:$B14)</f>
      </c>
      <c r="D11">
        <f>C11/B11</f>
      </c>
    </row>
    <row r="12">
      <c r="A12" t="str">
        <v>CP7</v>
      </c>
      <c r="B12">
        <f>'NORM_L1'!K11</f>
      </c>
      <c r="C12">
        <f>SUMPRODUCT('MATRIKS_L1'!B12:'MATRIKS_L1'!J12,$B6:$B14)</f>
      </c>
      <c r="D12">
        <f>C12/B12</f>
      </c>
    </row>
    <row r="13">
      <c r="A13" t="str">
        <v>CP8</v>
      </c>
      <c r="B13">
        <f>'NORM_L1'!K12</f>
      </c>
      <c r="C13">
        <f>SUMPRODUCT('MATRIKS_L1'!B13:'MATRIKS_L1'!J13,$B6:$B14)</f>
      </c>
      <c r="D13">
        <f>C13/B13</f>
      </c>
    </row>
    <row r="14">
      <c r="A14" t="str">
        <v>CP9</v>
      </c>
      <c r="B14">
        <f>'NORM_L1'!K13</f>
      </c>
      <c r="C14">
        <f>SUMPRODUCT('MATRIKS_L1'!B14:'MATRIKS_L1'!J14,$B6:$B14)</f>
      </c>
      <c r="D14">
        <f>C14/B14</f>
      </c>
    </row>
    <row r="17">
      <c r="A17" t="str">
        <v>LANGKAH 2: Perhitungan λmax, CI, CR</v>
      </c>
    </row>
    <row r="18">
      <c r="A18" t="str">
        <v>n (jumlah kriteria)</v>
      </c>
      <c r="B18">
        <v>9</v>
      </c>
    </row>
    <row r="19">
      <c r="A19" t="str">
        <v>λmax</v>
      </c>
      <c r="B19">
        <f>AVERAGE(D6:D14)</f>
      </c>
    </row>
    <row r="20">
      <c r="A20" t="str">
        <v>CI (Consistency Index)</v>
      </c>
      <c r="B20">
        <f>(B19-B18)/(B18-1)</f>
      </c>
    </row>
    <row r="21">
      <c r="A21" t="str">
        <v>RI (Random Index)</v>
      </c>
      <c r="B21">
        <v>1.45</v>
      </c>
    </row>
    <row r="22">
      <c r="A22" t="str">
        <v>CR (Consistency Ratio)</v>
      </c>
      <c r="B22">
        <f>B20/B21</f>
      </c>
    </row>
    <row r="24">
      <c r="A24" t="str">
        <v>KESIMPULAN</v>
      </c>
      <c r="B24">
        <f>IF(B22&lt;0.1,"KONSISTEN ✓ (CR &lt; 0.10)","TIDAK KONSISTEN ✗ (CR ≥ 0.10, perlu revisi)")</f>
      </c>
    </row>
    <row r="26">
      <c r="A26" t="str">
        <v>Catatan:</v>
      </c>
    </row>
    <row r="27">
      <c r="A27" t="str">
        <v>• CR &lt; 0.10 → Matriks dianggap konsisten</v>
      </c>
    </row>
    <row r="28">
      <c r="A28" t="str">
        <v>• CR ≥ 0.10 → Matriks TIDAK konsisten, perlu revisi penilaian</v>
      </c>
    </row>
    <row r="29">
      <c r="A29" t="str">
        <v>• λmax ideal ≈ n (jumlah kriteria)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MATRIKS TFN FUZZY — Level 1 — Antar Critical Point (CP1, CP2, CP3, CP4, CP5, CP6, CP7, CP8, CP9)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CP1</v>
      </c>
      <c r="C19" t="str">
        <v>CP2</v>
      </c>
      <c r="D19" t="str">
        <v>CP3</v>
      </c>
      <c r="E19" t="str">
        <v>CP4</v>
      </c>
      <c r="F19" t="str">
        <v>CP5</v>
      </c>
      <c r="G19" t="str">
        <v>CP6</v>
      </c>
      <c r="H19" t="str">
        <v>CP7</v>
      </c>
      <c r="I19" t="str">
        <v>CP8</v>
      </c>
      <c r="J19" t="str">
        <v>CP9</v>
      </c>
    </row>
    <row r="20">
      <c r="A20" t="str">
        <v>CP1</v>
      </c>
      <c r="B20">
        <v>1</v>
      </c>
      <c r="C20">
        <f>IF('INPUT_L1'!D5="A",VLOOKUP('INPUT_L1'!E5,$A$7:$D$15,2,FALSE),1/VLOOKUP('INPUT_L1'!E5,$A$7:$D$15,4,FALSE))</f>
      </c>
      <c r="D20">
        <f>IF('INPUT_L1'!D6="A",VLOOKUP('INPUT_L1'!E6,$A$7:$D$15,2,FALSE),1/VLOOKUP('INPUT_L1'!E6,$A$7:$D$15,4,FALSE))</f>
      </c>
      <c r="E20">
        <f>IF('INPUT_L1'!D7="A",VLOOKUP('INPUT_L1'!E7,$A$7:$D$15,2,FALSE),1/VLOOKUP('INPUT_L1'!E7,$A$7:$D$15,4,FALSE))</f>
      </c>
      <c r="F20">
        <f>IF('INPUT_L1'!D8="A",VLOOKUP('INPUT_L1'!E8,$A$7:$D$15,2,FALSE),1/VLOOKUP('INPUT_L1'!E8,$A$7:$D$15,4,FALSE))</f>
      </c>
      <c r="G20">
        <f>IF('INPUT_L1'!D9="A",VLOOKUP('INPUT_L1'!E9,$A$7:$D$15,2,FALSE),1/VLOOKUP('INPUT_L1'!E9,$A$7:$D$15,4,FALSE))</f>
      </c>
      <c r="H20">
        <f>IF('INPUT_L1'!D10="A",VLOOKUP('INPUT_L1'!E10,$A$7:$D$15,2,FALSE),1/VLOOKUP('INPUT_L1'!E10,$A$7:$D$15,4,FALSE))</f>
      </c>
      <c r="I20">
        <f>IF('INPUT_L1'!D11="A",VLOOKUP('INPUT_L1'!E11,$A$7:$D$15,2,FALSE),1/VLOOKUP('INPUT_L1'!E11,$A$7:$D$15,4,FALSE))</f>
      </c>
      <c r="J20">
        <f>IF('INPUT_L1'!D12="A",VLOOKUP('INPUT_L1'!E12,$A$7:$D$15,2,FALSE),1/VLOOKUP('INPUT_L1'!E12,$A$7:$D$15,4,FALSE))</f>
      </c>
      <c r="K20" t="str">
        <v>Σ Baris</v>
      </c>
    </row>
    <row r="21">
      <c r="A21" t="str">
        <v>CP2</v>
      </c>
      <c r="B21">
        <f>IF('INPUT_L1'!D5="A",1/VLOOKUP('INPUT_L1'!E5,$A$7:$D$15,4,FALSE),VLOOKUP('INPUT_L1'!E5,$A$7:$D$15,2,FALSE))</f>
      </c>
      <c r="C21">
        <v>1</v>
      </c>
      <c r="D21">
        <f>IF('INPUT_L1'!D13="A",VLOOKUP('INPUT_L1'!E13,$A$7:$D$15,2,FALSE),1/VLOOKUP('INPUT_L1'!E13,$A$7:$D$15,4,FALSE))</f>
      </c>
      <c r="E21">
        <f>IF('INPUT_L1'!D14="A",VLOOKUP('INPUT_L1'!E14,$A$7:$D$15,2,FALSE),1/VLOOKUP('INPUT_L1'!E14,$A$7:$D$15,4,FALSE))</f>
      </c>
      <c r="F21">
        <f>IF('INPUT_L1'!D15="A",VLOOKUP('INPUT_L1'!E15,$A$7:$D$15,2,FALSE),1/VLOOKUP('INPUT_L1'!E15,$A$7:$D$15,4,FALSE))</f>
      </c>
      <c r="G21">
        <f>IF('INPUT_L1'!D16="A",VLOOKUP('INPUT_L1'!E16,$A$7:$D$15,2,FALSE),1/VLOOKUP('INPUT_L1'!E16,$A$7:$D$15,4,FALSE))</f>
      </c>
      <c r="H21">
        <f>IF('INPUT_L1'!D17="A",VLOOKUP('INPUT_L1'!E17,$A$7:$D$15,2,FALSE),1/VLOOKUP('INPUT_L1'!E17,$A$7:$D$15,4,FALSE))</f>
      </c>
      <c r="I21">
        <f>IF('INPUT_L1'!D18="A",VLOOKUP('INPUT_L1'!E18,$A$7:$D$15,2,FALSE),1/VLOOKUP('INPUT_L1'!E18,$A$7:$D$15,4,FALSE))</f>
      </c>
      <c r="J21">
        <f>IF('INPUT_L1'!D19="A",VLOOKUP('INPUT_L1'!E19,$A$7:$D$15,2,FALSE),1/VLOOKUP('INPUT_L1'!E19,$A$7:$D$15,4,FALSE))</f>
      </c>
      <c r="K21">
        <f>SUM(B21:J21)</f>
      </c>
    </row>
    <row r="22">
      <c r="A22" t="str">
        <v>CP3</v>
      </c>
      <c r="B22">
        <f>IF('INPUT_L1'!D6="A",1/VLOOKUP('INPUT_L1'!E6,$A$7:$D$15,4,FALSE),VLOOKUP('INPUT_L1'!E6,$A$7:$D$15,2,FALSE))</f>
      </c>
      <c r="C22">
        <f>IF('INPUT_L1'!D13="A",1/VLOOKUP('INPUT_L1'!E13,$A$7:$D$15,4,FALSE),VLOOKUP('INPUT_L1'!E13,$A$7:$D$15,2,FALSE))</f>
      </c>
      <c r="D22">
        <v>1</v>
      </c>
      <c r="E22">
        <f>IF('INPUT_L1'!D20="A",VLOOKUP('INPUT_L1'!E20,$A$7:$D$15,2,FALSE),1/VLOOKUP('INPUT_L1'!E20,$A$7:$D$15,4,FALSE))</f>
      </c>
      <c r="F22">
        <f>IF('INPUT_L1'!D21="A",VLOOKUP('INPUT_L1'!E21,$A$7:$D$15,2,FALSE),1/VLOOKUP('INPUT_L1'!E21,$A$7:$D$15,4,FALSE))</f>
      </c>
      <c r="G22">
        <f>IF('INPUT_L1'!D22="A",VLOOKUP('INPUT_L1'!E22,$A$7:$D$15,2,FALSE),1/VLOOKUP('INPUT_L1'!E22,$A$7:$D$15,4,FALSE))</f>
      </c>
      <c r="H22">
        <f>IF('INPUT_L1'!D23="A",VLOOKUP('INPUT_L1'!E23,$A$7:$D$15,2,FALSE),1/VLOOKUP('INPUT_L1'!E23,$A$7:$D$15,4,FALSE))</f>
      </c>
      <c r="I22">
        <f>IF('INPUT_L1'!D24="A",VLOOKUP('INPUT_L1'!E24,$A$7:$D$15,2,FALSE),1/VLOOKUP('INPUT_L1'!E24,$A$7:$D$15,4,FALSE))</f>
      </c>
      <c r="J22">
        <f>IF('INPUT_L1'!D25="A",VLOOKUP('INPUT_L1'!E25,$A$7:$D$15,2,FALSE),1/VLOOKUP('INPUT_L1'!E25,$A$7:$D$15,4,FALSE))</f>
      </c>
      <c r="K22">
        <f>SUM(B22:J22)</f>
      </c>
    </row>
    <row r="23">
      <c r="A23" t="str">
        <v>CP4</v>
      </c>
      <c r="B23">
        <f>IF('INPUT_L1'!D7="A",1/VLOOKUP('INPUT_L1'!E7,$A$7:$D$15,4,FALSE),VLOOKUP('INPUT_L1'!E7,$A$7:$D$15,2,FALSE))</f>
      </c>
      <c r="C23">
        <f>IF('INPUT_L1'!D14="A",1/VLOOKUP('INPUT_L1'!E14,$A$7:$D$15,4,FALSE),VLOOKUP('INPUT_L1'!E14,$A$7:$D$15,2,FALSE))</f>
      </c>
      <c r="D23">
        <f>IF('INPUT_L1'!D20="A",1/VLOOKUP('INPUT_L1'!E20,$A$7:$D$15,4,FALSE),VLOOKUP('INPUT_L1'!E20,$A$7:$D$15,2,FALSE))</f>
      </c>
      <c r="E23">
        <v>1</v>
      </c>
      <c r="F23">
        <f>IF('INPUT_L1'!D26="A",VLOOKUP('INPUT_L1'!E26,$A$7:$D$15,2,FALSE),1/VLOOKUP('INPUT_L1'!E26,$A$7:$D$15,4,FALSE))</f>
      </c>
      <c r="G23">
        <f>IF('INPUT_L1'!D27="A",VLOOKUP('INPUT_L1'!E27,$A$7:$D$15,2,FALSE),1/VLOOKUP('INPUT_L1'!E27,$A$7:$D$15,4,FALSE))</f>
      </c>
      <c r="H23">
        <f>IF('INPUT_L1'!D28="A",VLOOKUP('INPUT_L1'!E28,$A$7:$D$15,2,FALSE),1/VLOOKUP('INPUT_L1'!E28,$A$7:$D$15,4,FALSE))</f>
      </c>
      <c r="I23">
        <f>IF('INPUT_L1'!D29="A",VLOOKUP('INPUT_L1'!E29,$A$7:$D$15,2,FALSE),1/VLOOKUP('INPUT_L1'!E29,$A$7:$D$15,4,FALSE))</f>
      </c>
      <c r="J23">
        <f>IF('INPUT_L1'!D30="A",VLOOKUP('INPUT_L1'!E30,$A$7:$D$15,2,FALSE),1/VLOOKUP('INPUT_L1'!E30,$A$7:$D$15,4,FALSE))</f>
      </c>
      <c r="K23">
        <f>SUM(B23:J23)</f>
      </c>
    </row>
    <row r="24">
      <c r="A24" t="str">
        <v>CP5</v>
      </c>
      <c r="B24">
        <f>IF('INPUT_L1'!D8="A",1/VLOOKUP('INPUT_L1'!E8,$A$7:$D$15,4,FALSE),VLOOKUP('INPUT_L1'!E8,$A$7:$D$15,2,FALSE))</f>
      </c>
      <c r="C24">
        <f>IF('INPUT_L1'!D15="A",1/VLOOKUP('INPUT_L1'!E15,$A$7:$D$15,4,FALSE),VLOOKUP('INPUT_L1'!E15,$A$7:$D$15,2,FALSE))</f>
      </c>
      <c r="D24">
        <f>IF('INPUT_L1'!D21="A",1/VLOOKUP('INPUT_L1'!E21,$A$7:$D$15,4,FALSE),VLOOKUP('INPUT_L1'!E21,$A$7:$D$15,2,FALSE))</f>
      </c>
      <c r="E24">
        <f>IF('INPUT_L1'!D26="A",1/VLOOKUP('INPUT_L1'!E26,$A$7:$D$15,4,FALSE),VLOOKUP('INPUT_L1'!E26,$A$7:$D$15,2,FALSE))</f>
      </c>
      <c r="F24">
        <v>1</v>
      </c>
      <c r="G24">
        <f>IF('INPUT_L1'!D31="A",VLOOKUP('INPUT_L1'!E31,$A$7:$D$15,2,FALSE),1/VLOOKUP('INPUT_L1'!E31,$A$7:$D$15,4,FALSE))</f>
      </c>
      <c r="H24">
        <f>IF('INPUT_L1'!D32="A",VLOOKUP('INPUT_L1'!E32,$A$7:$D$15,2,FALSE),1/VLOOKUP('INPUT_L1'!E32,$A$7:$D$15,4,FALSE))</f>
      </c>
      <c r="I24">
        <f>IF('INPUT_L1'!D33="A",VLOOKUP('INPUT_L1'!E33,$A$7:$D$15,2,FALSE),1/VLOOKUP('INPUT_L1'!E33,$A$7:$D$15,4,FALSE))</f>
      </c>
      <c r="J24">
        <f>IF('INPUT_L1'!D34="A",VLOOKUP('INPUT_L1'!E34,$A$7:$D$15,2,FALSE),1/VLOOKUP('INPUT_L1'!E34,$A$7:$D$15,4,FALSE))</f>
      </c>
      <c r="K24">
        <f>SUM(B24:J24)</f>
      </c>
    </row>
    <row r="25">
      <c r="A25" t="str">
        <v>CP6</v>
      </c>
      <c r="B25">
        <f>IF('INPUT_L1'!D9="A",1/VLOOKUP('INPUT_L1'!E9,$A$7:$D$15,4,FALSE),VLOOKUP('INPUT_L1'!E9,$A$7:$D$15,2,FALSE))</f>
      </c>
      <c r="C25">
        <f>IF('INPUT_L1'!D16="A",1/VLOOKUP('INPUT_L1'!E16,$A$7:$D$15,4,FALSE),VLOOKUP('INPUT_L1'!E16,$A$7:$D$15,2,FALSE))</f>
      </c>
      <c r="D25">
        <f>IF('INPUT_L1'!D22="A",1/VLOOKUP('INPUT_L1'!E22,$A$7:$D$15,4,FALSE),VLOOKUP('INPUT_L1'!E22,$A$7:$D$15,2,FALSE))</f>
      </c>
      <c r="E25">
        <f>IF('INPUT_L1'!D27="A",1/VLOOKUP('INPUT_L1'!E27,$A$7:$D$15,4,FALSE),VLOOKUP('INPUT_L1'!E27,$A$7:$D$15,2,FALSE))</f>
      </c>
      <c r="F25">
        <f>IF('INPUT_L1'!D31="A",1/VLOOKUP('INPUT_L1'!E31,$A$7:$D$15,4,FALSE),VLOOKUP('INPUT_L1'!E31,$A$7:$D$15,2,FALSE))</f>
      </c>
      <c r="G25">
        <v>1</v>
      </c>
      <c r="H25">
        <f>IF('INPUT_L1'!D35="A",VLOOKUP('INPUT_L1'!E35,$A$7:$D$15,2,FALSE),1/VLOOKUP('INPUT_L1'!E35,$A$7:$D$15,4,FALSE))</f>
      </c>
      <c r="I25">
        <f>IF('INPUT_L1'!D36="A",VLOOKUP('INPUT_L1'!E36,$A$7:$D$15,2,FALSE),1/VLOOKUP('INPUT_L1'!E36,$A$7:$D$15,4,FALSE))</f>
      </c>
      <c r="J25">
        <f>IF('INPUT_L1'!D37="A",VLOOKUP('INPUT_L1'!E37,$A$7:$D$15,2,FALSE),1/VLOOKUP('INPUT_L1'!E37,$A$7:$D$15,4,FALSE))</f>
      </c>
      <c r="K25">
        <f>SUM(B25:J25)</f>
      </c>
    </row>
    <row r="26">
      <c r="A26" t="str">
        <v>CP7</v>
      </c>
      <c r="B26">
        <f>IF('INPUT_L1'!D10="A",1/VLOOKUP('INPUT_L1'!E10,$A$7:$D$15,4,FALSE),VLOOKUP('INPUT_L1'!E10,$A$7:$D$15,2,FALSE))</f>
      </c>
      <c r="C26">
        <f>IF('INPUT_L1'!D17="A",1/VLOOKUP('INPUT_L1'!E17,$A$7:$D$15,4,FALSE),VLOOKUP('INPUT_L1'!E17,$A$7:$D$15,2,FALSE))</f>
      </c>
      <c r="D26">
        <f>IF('INPUT_L1'!D23="A",1/VLOOKUP('INPUT_L1'!E23,$A$7:$D$15,4,FALSE),VLOOKUP('INPUT_L1'!E23,$A$7:$D$15,2,FALSE))</f>
      </c>
      <c r="E26">
        <f>IF('INPUT_L1'!D28="A",1/VLOOKUP('INPUT_L1'!E28,$A$7:$D$15,4,FALSE),VLOOKUP('INPUT_L1'!E28,$A$7:$D$15,2,FALSE))</f>
      </c>
      <c r="F26">
        <f>IF('INPUT_L1'!D32="A",1/VLOOKUP('INPUT_L1'!E32,$A$7:$D$15,4,FALSE),VLOOKUP('INPUT_L1'!E32,$A$7:$D$15,2,FALSE))</f>
      </c>
      <c r="G26">
        <f>IF('INPUT_L1'!D35="A",1/VLOOKUP('INPUT_L1'!E35,$A$7:$D$15,4,FALSE),VLOOKUP('INPUT_L1'!E35,$A$7:$D$15,2,FALSE))</f>
      </c>
      <c r="H26">
        <v>1</v>
      </c>
      <c r="I26">
        <f>IF('INPUT_L1'!D38="A",VLOOKUP('INPUT_L1'!E38,$A$7:$D$15,2,FALSE),1/VLOOKUP('INPUT_L1'!E38,$A$7:$D$15,4,FALSE))</f>
      </c>
      <c r="J26">
        <f>IF('INPUT_L1'!D39="A",VLOOKUP('INPUT_L1'!E39,$A$7:$D$15,2,FALSE),1/VLOOKUP('INPUT_L1'!E39,$A$7:$D$15,4,FALSE))</f>
      </c>
      <c r="K26">
        <f>SUM(B26:J26)</f>
      </c>
    </row>
    <row r="27">
      <c r="A27" t="str">
        <v>CP8</v>
      </c>
      <c r="B27">
        <f>IF('INPUT_L1'!D11="A",1/VLOOKUP('INPUT_L1'!E11,$A$7:$D$15,4,FALSE),VLOOKUP('INPUT_L1'!E11,$A$7:$D$15,2,FALSE))</f>
      </c>
      <c r="C27">
        <f>IF('INPUT_L1'!D18="A",1/VLOOKUP('INPUT_L1'!E18,$A$7:$D$15,4,FALSE),VLOOKUP('INPUT_L1'!E18,$A$7:$D$15,2,FALSE))</f>
      </c>
      <c r="D27">
        <f>IF('INPUT_L1'!D24="A",1/VLOOKUP('INPUT_L1'!E24,$A$7:$D$15,4,FALSE),VLOOKUP('INPUT_L1'!E24,$A$7:$D$15,2,FALSE))</f>
      </c>
      <c r="E27">
        <f>IF('INPUT_L1'!D29="A",1/VLOOKUP('INPUT_L1'!E29,$A$7:$D$15,4,FALSE),VLOOKUP('INPUT_L1'!E29,$A$7:$D$15,2,FALSE))</f>
      </c>
      <c r="F27">
        <f>IF('INPUT_L1'!D33="A",1/VLOOKUP('INPUT_L1'!E33,$A$7:$D$15,4,FALSE),VLOOKUP('INPUT_L1'!E33,$A$7:$D$15,2,FALSE))</f>
      </c>
      <c r="G27">
        <f>IF('INPUT_L1'!D36="A",1/VLOOKUP('INPUT_L1'!E36,$A$7:$D$15,4,FALSE),VLOOKUP('INPUT_L1'!E36,$A$7:$D$15,2,FALSE))</f>
      </c>
      <c r="H27">
        <f>IF('INPUT_L1'!D38="A",1/VLOOKUP('INPUT_L1'!E38,$A$7:$D$15,4,FALSE),VLOOKUP('INPUT_L1'!E38,$A$7:$D$15,2,FALSE))</f>
      </c>
      <c r="I27">
        <v>1</v>
      </c>
      <c r="J27">
        <f>IF('INPUT_L1'!D40="A",VLOOKUP('INPUT_L1'!E40,$A$7:$D$15,2,FALSE),1/VLOOKUP('INPUT_L1'!E40,$A$7:$D$15,4,FALSE))</f>
      </c>
      <c r="K27">
        <f>SUM(B27:J27)</f>
      </c>
    </row>
    <row r="28">
      <c r="A28" t="str">
        <v>CP9</v>
      </c>
      <c r="B28">
        <f>IF('INPUT_L1'!D12="A",1/VLOOKUP('INPUT_L1'!E12,$A$7:$D$15,4,FALSE),VLOOKUP('INPUT_L1'!E12,$A$7:$D$15,2,FALSE))</f>
      </c>
      <c r="C28">
        <f>IF('INPUT_L1'!D19="A",1/VLOOKUP('INPUT_L1'!E19,$A$7:$D$15,4,FALSE),VLOOKUP('INPUT_L1'!E19,$A$7:$D$15,2,FALSE))</f>
      </c>
      <c r="D28">
        <f>IF('INPUT_L1'!D25="A",1/VLOOKUP('INPUT_L1'!E25,$A$7:$D$15,4,FALSE),VLOOKUP('INPUT_L1'!E25,$A$7:$D$15,2,FALSE))</f>
      </c>
      <c r="E28">
        <f>IF('INPUT_L1'!D30="A",1/VLOOKUP('INPUT_L1'!E30,$A$7:$D$15,4,FALSE),VLOOKUP('INPUT_L1'!E30,$A$7:$D$15,2,FALSE))</f>
      </c>
      <c r="F28">
        <f>IF('INPUT_L1'!D34="A",1/VLOOKUP('INPUT_L1'!E34,$A$7:$D$15,4,FALSE),VLOOKUP('INPUT_L1'!E34,$A$7:$D$15,2,FALSE))</f>
      </c>
      <c r="G28">
        <f>IF('INPUT_L1'!D37="A",1/VLOOKUP('INPUT_L1'!E37,$A$7:$D$15,4,FALSE),VLOOKUP('INPUT_L1'!E37,$A$7:$D$15,2,FALSE))</f>
      </c>
      <c r="H28">
        <f>IF('INPUT_L1'!D39="A",1/VLOOKUP('INPUT_L1'!E39,$A$7:$D$15,4,FALSE),VLOOKUP('INPUT_L1'!E39,$A$7:$D$15,2,FALSE))</f>
      </c>
      <c r="I28">
        <f>IF('INPUT_L1'!D40="A",1/VLOOKUP('INPUT_L1'!E40,$A$7:$D$15,4,FALSE),VLOOKUP('INPUT_L1'!E40,$A$7:$D$15,2,FALSE))</f>
      </c>
      <c r="J28">
        <v>1</v>
      </c>
      <c r="K28">
        <f>SUM(B28:J28)</f>
      </c>
    </row>
    <row r="29">
      <c r="K29">
        <f>SUM(B29:J29)</f>
      </c>
    </row>
    <row r="30">
      <c r="A30" t="str">
        <v>TOTAL</v>
      </c>
      <c r="K30">
        <f>SUM(K21:K29)</f>
      </c>
    </row>
    <row r="31">
      <c r="K31">
        <f>SUM(B22:J22)</f>
      </c>
    </row>
    <row r="32">
      <c r="K32">
        <f>SUM(B23:J23)</f>
      </c>
    </row>
    <row r="33">
      <c r="A33" t="str">
        <v>MATRIKS TFN — Komponen m (Middle)</v>
      </c>
      <c r="K33">
        <f>SUM(B24:J24)</f>
      </c>
    </row>
    <row r="34">
      <c r="A34" t="str">
        <v/>
      </c>
      <c r="B34" t="str">
        <v>CP1</v>
      </c>
      <c r="C34" t="str">
        <v>CP2</v>
      </c>
      <c r="D34" t="str">
        <v>CP3</v>
      </c>
      <c r="E34" t="str">
        <v>CP4</v>
      </c>
      <c r="F34" t="str">
        <v>CP5</v>
      </c>
      <c r="G34" t="str">
        <v>CP6</v>
      </c>
      <c r="H34" t="str">
        <v>CP7</v>
      </c>
      <c r="I34" t="str">
        <v>CP8</v>
      </c>
      <c r="J34" t="str">
        <v>CP9</v>
      </c>
      <c r="K34" t="str">
        <v>Σ Baris</v>
      </c>
    </row>
    <row r="35">
      <c r="A35" t="str">
        <v>CP1</v>
      </c>
      <c r="B35">
        <v>1</v>
      </c>
      <c r="C35">
        <f>IF('INPUT_L1'!D5="A",VLOOKUP('INPUT_L1'!E5,$A$7:$D$15,3,FALSE),1/VLOOKUP('INPUT_L1'!E5,$A$7:$D$15,3,FALSE))</f>
      </c>
      <c r="D35">
        <f>IF('INPUT_L1'!D6="A",VLOOKUP('INPUT_L1'!E6,$A$7:$D$15,3,FALSE),1/VLOOKUP('INPUT_L1'!E6,$A$7:$D$15,3,FALSE))</f>
      </c>
      <c r="E35">
        <f>IF('INPUT_L1'!D7="A",VLOOKUP('INPUT_L1'!E7,$A$7:$D$15,3,FALSE),1/VLOOKUP('INPUT_L1'!E7,$A$7:$D$15,3,FALSE))</f>
      </c>
      <c r="F35">
        <f>IF('INPUT_L1'!D8="A",VLOOKUP('INPUT_L1'!E8,$A$7:$D$15,3,FALSE),1/VLOOKUP('INPUT_L1'!E8,$A$7:$D$15,3,FALSE))</f>
      </c>
      <c r="G35">
        <f>IF('INPUT_L1'!D9="A",VLOOKUP('INPUT_L1'!E9,$A$7:$D$15,3,FALSE),1/VLOOKUP('INPUT_L1'!E9,$A$7:$D$15,3,FALSE))</f>
      </c>
      <c r="H35">
        <f>IF('INPUT_L1'!D10="A",VLOOKUP('INPUT_L1'!E10,$A$7:$D$15,3,FALSE),1/VLOOKUP('INPUT_L1'!E10,$A$7:$D$15,3,FALSE))</f>
      </c>
      <c r="I35">
        <f>IF('INPUT_L1'!D11="A",VLOOKUP('INPUT_L1'!E11,$A$7:$D$15,3,FALSE),1/VLOOKUP('INPUT_L1'!E11,$A$7:$D$15,3,FALSE))</f>
      </c>
      <c r="J35">
        <f>IF('INPUT_L1'!D12="A",VLOOKUP('INPUT_L1'!E12,$A$7:$D$15,3,FALSE),1/VLOOKUP('INPUT_L1'!E12,$A$7:$D$15,3,FALSE))</f>
      </c>
      <c r="K35">
        <f>SUM(B35:J35)</f>
      </c>
    </row>
    <row r="36">
      <c r="A36" t="str">
        <v>CP2</v>
      </c>
      <c r="B36">
        <f>IF('INPUT_L1'!D5="A",1/VLOOKUP('INPUT_L1'!E5,$A$7:$D$15,3,FALSE),VLOOKUP('INPUT_L1'!E5,$A$7:$D$15,3,FALSE))</f>
      </c>
      <c r="C36">
        <v>1</v>
      </c>
      <c r="D36">
        <f>IF('INPUT_L1'!D13="A",VLOOKUP('INPUT_L1'!E13,$A$7:$D$15,3,FALSE),1/VLOOKUP('INPUT_L1'!E13,$A$7:$D$15,3,FALSE))</f>
      </c>
      <c r="E36">
        <f>IF('INPUT_L1'!D14="A",VLOOKUP('INPUT_L1'!E14,$A$7:$D$15,3,FALSE),1/VLOOKUP('INPUT_L1'!E14,$A$7:$D$15,3,FALSE))</f>
      </c>
      <c r="F36">
        <f>IF('INPUT_L1'!D15="A",VLOOKUP('INPUT_L1'!E15,$A$7:$D$15,3,FALSE),1/VLOOKUP('INPUT_L1'!E15,$A$7:$D$15,3,FALSE))</f>
      </c>
      <c r="G36">
        <f>IF('INPUT_L1'!D16="A",VLOOKUP('INPUT_L1'!E16,$A$7:$D$15,3,FALSE),1/VLOOKUP('INPUT_L1'!E16,$A$7:$D$15,3,FALSE))</f>
      </c>
      <c r="H36">
        <f>IF('INPUT_L1'!D17="A",VLOOKUP('INPUT_L1'!E17,$A$7:$D$15,3,FALSE),1/VLOOKUP('INPUT_L1'!E17,$A$7:$D$15,3,FALSE))</f>
      </c>
      <c r="I36">
        <f>IF('INPUT_L1'!D18="A",VLOOKUP('INPUT_L1'!E18,$A$7:$D$15,3,FALSE),1/VLOOKUP('INPUT_L1'!E18,$A$7:$D$15,3,FALSE))</f>
      </c>
      <c r="J36">
        <f>IF('INPUT_L1'!D19="A",VLOOKUP('INPUT_L1'!E19,$A$7:$D$15,3,FALSE),1/VLOOKUP('INPUT_L1'!E19,$A$7:$D$15,3,FALSE))</f>
      </c>
      <c r="K36">
        <f>SUM(B36:J36)</f>
      </c>
    </row>
    <row r="37">
      <c r="A37" t="str">
        <v>CP3</v>
      </c>
      <c r="B37">
        <f>IF('INPUT_L1'!D6="A",1/VLOOKUP('INPUT_L1'!E6,$A$7:$D$15,3,FALSE),VLOOKUP('INPUT_L1'!E6,$A$7:$D$15,3,FALSE))</f>
      </c>
      <c r="C37">
        <f>IF('INPUT_L1'!D13="A",1/VLOOKUP('INPUT_L1'!E13,$A$7:$D$15,3,FALSE),VLOOKUP('INPUT_L1'!E13,$A$7:$D$15,3,FALSE))</f>
      </c>
      <c r="D37">
        <v>1</v>
      </c>
      <c r="E37">
        <f>IF('INPUT_L1'!D20="A",VLOOKUP('INPUT_L1'!E20,$A$7:$D$15,3,FALSE),1/VLOOKUP('INPUT_L1'!E20,$A$7:$D$15,3,FALSE))</f>
      </c>
      <c r="F37">
        <f>IF('INPUT_L1'!D21="A",VLOOKUP('INPUT_L1'!E21,$A$7:$D$15,3,FALSE),1/VLOOKUP('INPUT_L1'!E21,$A$7:$D$15,3,FALSE))</f>
      </c>
      <c r="G37">
        <f>IF('INPUT_L1'!D22="A",VLOOKUP('INPUT_L1'!E22,$A$7:$D$15,3,FALSE),1/VLOOKUP('INPUT_L1'!E22,$A$7:$D$15,3,FALSE))</f>
      </c>
      <c r="H37">
        <f>IF('INPUT_L1'!D23="A",VLOOKUP('INPUT_L1'!E23,$A$7:$D$15,3,FALSE),1/VLOOKUP('INPUT_L1'!E23,$A$7:$D$15,3,FALSE))</f>
      </c>
      <c r="I37">
        <f>IF('INPUT_L1'!D24="A",VLOOKUP('INPUT_L1'!E24,$A$7:$D$15,3,FALSE),1/VLOOKUP('INPUT_L1'!E24,$A$7:$D$15,3,FALSE))</f>
      </c>
      <c r="J37">
        <f>IF('INPUT_L1'!D25="A",VLOOKUP('INPUT_L1'!E25,$A$7:$D$15,3,FALSE),1/VLOOKUP('INPUT_L1'!E25,$A$7:$D$15,3,FALSE))</f>
      </c>
      <c r="K37">
        <f>SUM(B37:J37)</f>
      </c>
    </row>
    <row r="38">
      <c r="A38" t="str">
        <v>CP4</v>
      </c>
      <c r="B38">
        <f>IF('INPUT_L1'!D7="A",1/VLOOKUP('INPUT_L1'!E7,$A$7:$D$15,3,FALSE),VLOOKUP('INPUT_L1'!E7,$A$7:$D$15,3,FALSE))</f>
      </c>
      <c r="C38">
        <f>IF('INPUT_L1'!D14="A",1/VLOOKUP('INPUT_L1'!E14,$A$7:$D$15,3,FALSE),VLOOKUP('INPUT_L1'!E14,$A$7:$D$15,3,FALSE))</f>
      </c>
      <c r="D38">
        <f>IF('INPUT_L1'!D20="A",1/VLOOKUP('INPUT_L1'!E20,$A$7:$D$15,3,FALSE),VLOOKUP('INPUT_L1'!E20,$A$7:$D$15,3,FALSE))</f>
      </c>
      <c r="E38">
        <v>1</v>
      </c>
      <c r="F38">
        <f>IF('INPUT_L1'!D26="A",VLOOKUP('INPUT_L1'!E26,$A$7:$D$15,3,FALSE),1/VLOOKUP('INPUT_L1'!E26,$A$7:$D$15,3,FALSE))</f>
      </c>
      <c r="G38">
        <f>IF('INPUT_L1'!D27="A",VLOOKUP('INPUT_L1'!E27,$A$7:$D$15,3,FALSE),1/VLOOKUP('INPUT_L1'!E27,$A$7:$D$15,3,FALSE))</f>
      </c>
      <c r="H38">
        <f>IF('INPUT_L1'!D28="A",VLOOKUP('INPUT_L1'!E28,$A$7:$D$15,3,FALSE),1/VLOOKUP('INPUT_L1'!E28,$A$7:$D$15,3,FALSE))</f>
      </c>
      <c r="I38">
        <f>IF('INPUT_L1'!D29="A",VLOOKUP('INPUT_L1'!E29,$A$7:$D$15,3,FALSE),1/VLOOKUP('INPUT_L1'!E29,$A$7:$D$15,3,FALSE))</f>
      </c>
      <c r="J38">
        <f>IF('INPUT_L1'!D30="A",VLOOKUP('INPUT_L1'!E30,$A$7:$D$15,3,FALSE),1/VLOOKUP('INPUT_L1'!E30,$A$7:$D$15,3,FALSE))</f>
      </c>
      <c r="K38">
        <f>SUM(B38:J38)</f>
      </c>
    </row>
    <row r="39">
      <c r="A39" t="str">
        <v>CP5</v>
      </c>
      <c r="B39">
        <f>IF('INPUT_L1'!D8="A",1/VLOOKUP('INPUT_L1'!E8,$A$7:$D$15,3,FALSE),VLOOKUP('INPUT_L1'!E8,$A$7:$D$15,3,FALSE))</f>
      </c>
      <c r="C39">
        <f>IF('INPUT_L1'!D15="A",1/VLOOKUP('INPUT_L1'!E15,$A$7:$D$15,3,FALSE),VLOOKUP('INPUT_L1'!E15,$A$7:$D$15,3,FALSE))</f>
      </c>
      <c r="D39">
        <f>IF('INPUT_L1'!D21="A",1/VLOOKUP('INPUT_L1'!E21,$A$7:$D$15,3,FALSE),VLOOKUP('INPUT_L1'!E21,$A$7:$D$15,3,FALSE))</f>
      </c>
      <c r="E39">
        <f>IF('INPUT_L1'!D26="A",1/VLOOKUP('INPUT_L1'!E26,$A$7:$D$15,3,FALSE),VLOOKUP('INPUT_L1'!E26,$A$7:$D$15,3,FALSE))</f>
      </c>
      <c r="F39">
        <v>1</v>
      </c>
      <c r="G39">
        <f>IF('INPUT_L1'!D31="A",VLOOKUP('INPUT_L1'!E31,$A$7:$D$15,3,FALSE),1/VLOOKUP('INPUT_L1'!E31,$A$7:$D$15,3,FALSE))</f>
      </c>
      <c r="H39">
        <f>IF('INPUT_L1'!D32="A",VLOOKUP('INPUT_L1'!E32,$A$7:$D$15,3,FALSE),1/VLOOKUP('INPUT_L1'!E32,$A$7:$D$15,3,FALSE))</f>
      </c>
      <c r="I39">
        <f>IF('INPUT_L1'!D33="A",VLOOKUP('INPUT_L1'!E33,$A$7:$D$15,3,FALSE),1/VLOOKUP('INPUT_L1'!E33,$A$7:$D$15,3,FALSE))</f>
      </c>
      <c r="J39">
        <f>IF('INPUT_L1'!D34="A",VLOOKUP('INPUT_L1'!E34,$A$7:$D$15,3,FALSE),1/VLOOKUP('INPUT_L1'!E34,$A$7:$D$15,3,FALSE))</f>
      </c>
      <c r="K39">
        <f>SUM(B39:J39)</f>
      </c>
    </row>
    <row r="40">
      <c r="A40" t="str">
        <v>CP6</v>
      </c>
      <c r="B40">
        <f>IF('INPUT_L1'!D9="A",1/VLOOKUP('INPUT_L1'!E9,$A$7:$D$15,3,FALSE),VLOOKUP('INPUT_L1'!E9,$A$7:$D$15,3,FALSE))</f>
      </c>
      <c r="C40">
        <f>IF('INPUT_L1'!D16="A",1/VLOOKUP('INPUT_L1'!E16,$A$7:$D$15,3,FALSE),VLOOKUP('INPUT_L1'!E16,$A$7:$D$15,3,FALSE))</f>
      </c>
      <c r="D40">
        <f>IF('INPUT_L1'!D22="A",1/VLOOKUP('INPUT_L1'!E22,$A$7:$D$15,3,FALSE),VLOOKUP('INPUT_L1'!E22,$A$7:$D$15,3,FALSE))</f>
      </c>
      <c r="E40">
        <f>IF('INPUT_L1'!D27="A",1/VLOOKUP('INPUT_L1'!E27,$A$7:$D$15,3,FALSE),VLOOKUP('INPUT_L1'!E27,$A$7:$D$15,3,FALSE))</f>
      </c>
      <c r="F40">
        <f>IF('INPUT_L1'!D31="A",1/VLOOKUP('INPUT_L1'!E31,$A$7:$D$15,3,FALSE),VLOOKUP('INPUT_L1'!E31,$A$7:$D$15,3,FALSE))</f>
      </c>
      <c r="G40">
        <v>1</v>
      </c>
      <c r="H40">
        <f>IF('INPUT_L1'!D35="A",VLOOKUP('INPUT_L1'!E35,$A$7:$D$15,3,FALSE),1/VLOOKUP('INPUT_L1'!E35,$A$7:$D$15,3,FALSE))</f>
      </c>
      <c r="I40">
        <f>IF('INPUT_L1'!D36="A",VLOOKUP('INPUT_L1'!E36,$A$7:$D$15,3,FALSE),1/VLOOKUP('INPUT_L1'!E36,$A$7:$D$15,3,FALSE))</f>
      </c>
      <c r="J40">
        <f>IF('INPUT_L1'!D37="A",VLOOKUP('INPUT_L1'!E37,$A$7:$D$15,3,FALSE),1/VLOOKUP('INPUT_L1'!E37,$A$7:$D$15,3,FALSE))</f>
      </c>
      <c r="K40">
        <f>SUM(B40:J40)</f>
      </c>
    </row>
    <row r="41">
      <c r="A41" t="str">
        <v>CP7</v>
      </c>
      <c r="B41">
        <f>IF('INPUT_L1'!D10="A",1/VLOOKUP('INPUT_L1'!E10,$A$7:$D$15,3,FALSE),VLOOKUP('INPUT_L1'!E10,$A$7:$D$15,3,FALSE))</f>
      </c>
      <c r="C41">
        <f>IF('INPUT_L1'!D17="A",1/VLOOKUP('INPUT_L1'!E17,$A$7:$D$15,3,FALSE),VLOOKUP('INPUT_L1'!E17,$A$7:$D$15,3,FALSE))</f>
      </c>
      <c r="D41">
        <f>IF('INPUT_L1'!D23="A",1/VLOOKUP('INPUT_L1'!E23,$A$7:$D$15,3,FALSE),VLOOKUP('INPUT_L1'!E23,$A$7:$D$15,3,FALSE))</f>
      </c>
      <c r="E41">
        <f>IF('INPUT_L1'!D28="A",1/VLOOKUP('INPUT_L1'!E28,$A$7:$D$15,3,FALSE),VLOOKUP('INPUT_L1'!E28,$A$7:$D$15,3,FALSE))</f>
      </c>
      <c r="F41">
        <f>IF('INPUT_L1'!D32="A",1/VLOOKUP('INPUT_L1'!E32,$A$7:$D$15,3,FALSE),VLOOKUP('INPUT_L1'!E32,$A$7:$D$15,3,FALSE))</f>
      </c>
      <c r="G41">
        <f>IF('INPUT_L1'!D35="A",1/VLOOKUP('INPUT_L1'!E35,$A$7:$D$15,3,FALSE),VLOOKUP('INPUT_L1'!E35,$A$7:$D$15,3,FALSE))</f>
      </c>
      <c r="H41">
        <v>1</v>
      </c>
      <c r="I41">
        <f>IF('INPUT_L1'!D38="A",VLOOKUP('INPUT_L1'!E38,$A$7:$D$15,3,FALSE),1/VLOOKUP('INPUT_L1'!E38,$A$7:$D$15,3,FALSE))</f>
      </c>
      <c r="J41">
        <f>IF('INPUT_L1'!D39="A",VLOOKUP('INPUT_L1'!E39,$A$7:$D$15,3,FALSE),1/VLOOKUP('INPUT_L1'!E39,$A$7:$D$15,3,FALSE))</f>
      </c>
      <c r="K41">
        <f>SUM(B41:J41)</f>
      </c>
    </row>
    <row r="42">
      <c r="A42" t="str">
        <v>CP8</v>
      </c>
      <c r="B42">
        <f>IF('INPUT_L1'!D11="A",1/VLOOKUP('INPUT_L1'!E11,$A$7:$D$15,3,FALSE),VLOOKUP('INPUT_L1'!E11,$A$7:$D$15,3,FALSE))</f>
      </c>
      <c r="C42">
        <f>IF('INPUT_L1'!D18="A",1/VLOOKUP('INPUT_L1'!E18,$A$7:$D$15,3,FALSE),VLOOKUP('INPUT_L1'!E18,$A$7:$D$15,3,FALSE))</f>
      </c>
      <c r="D42">
        <f>IF('INPUT_L1'!D24="A",1/VLOOKUP('INPUT_L1'!E24,$A$7:$D$15,3,FALSE),VLOOKUP('INPUT_L1'!E24,$A$7:$D$15,3,FALSE))</f>
      </c>
      <c r="E42">
        <f>IF('INPUT_L1'!D29="A",1/VLOOKUP('INPUT_L1'!E29,$A$7:$D$15,3,FALSE),VLOOKUP('INPUT_L1'!E29,$A$7:$D$15,3,FALSE))</f>
      </c>
      <c r="F42">
        <f>IF('INPUT_L1'!D33="A",1/VLOOKUP('INPUT_L1'!E33,$A$7:$D$15,3,FALSE),VLOOKUP('INPUT_L1'!E33,$A$7:$D$15,3,FALSE))</f>
      </c>
      <c r="G42">
        <f>IF('INPUT_L1'!D36="A",1/VLOOKUP('INPUT_L1'!E36,$A$7:$D$15,3,FALSE),VLOOKUP('INPUT_L1'!E36,$A$7:$D$15,3,FALSE))</f>
      </c>
      <c r="H42">
        <f>IF('INPUT_L1'!D38="A",1/VLOOKUP('INPUT_L1'!E38,$A$7:$D$15,3,FALSE),VLOOKUP('INPUT_L1'!E38,$A$7:$D$15,3,FALSE))</f>
      </c>
      <c r="I42">
        <v>1</v>
      </c>
      <c r="J42">
        <f>IF('INPUT_L1'!D40="A",VLOOKUP('INPUT_L1'!E40,$A$7:$D$15,3,FALSE),1/VLOOKUP('INPUT_L1'!E40,$A$7:$D$15,3,FALSE))</f>
      </c>
      <c r="K42">
        <f>SUM(B42:J42)</f>
      </c>
    </row>
    <row r="43">
      <c r="A43" t="str">
        <v>CP9</v>
      </c>
      <c r="B43">
        <f>IF('INPUT_L1'!D12="A",1/VLOOKUP('INPUT_L1'!E12,$A$7:$D$15,3,FALSE),VLOOKUP('INPUT_L1'!E12,$A$7:$D$15,3,FALSE))</f>
      </c>
      <c r="C43">
        <f>IF('INPUT_L1'!D19="A",1/VLOOKUP('INPUT_L1'!E19,$A$7:$D$15,3,FALSE),VLOOKUP('INPUT_L1'!E19,$A$7:$D$15,3,FALSE))</f>
      </c>
      <c r="D43">
        <f>IF('INPUT_L1'!D25="A",1/VLOOKUP('INPUT_L1'!E25,$A$7:$D$15,3,FALSE),VLOOKUP('INPUT_L1'!E25,$A$7:$D$15,3,FALSE))</f>
      </c>
      <c r="E43">
        <f>IF('INPUT_L1'!D30="A",1/VLOOKUP('INPUT_L1'!E30,$A$7:$D$15,3,FALSE),VLOOKUP('INPUT_L1'!E30,$A$7:$D$15,3,FALSE))</f>
      </c>
      <c r="F43">
        <f>IF('INPUT_L1'!D34="A",1/VLOOKUP('INPUT_L1'!E34,$A$7:$D$15,3,FALSE),VLOOKUP('INPUT_L1'!E34,$A$7:$D$15,3,FALSE))</f>
      </c>
      <c r="G43">
        <f>IF('INPUT_L1'!D37="A",1/VLOOKUP('INPUT_L1'!E37,$A$7:$D$15,3,FALSE),VLOOKUP('INPUT_L1'!E37,$A$7:$D$15,3,FALSE))</f>
      </c>
      <c r="H43">
        <f>IF('INPUT_L1'!D39="A",1/VLOOKUP('INPUT_L1'!E39,$A$7:$D$15,3,FALSE),VLOOKUP('INPUT_L1'!E39,$A$7:$D$15,3,FALSE))</f>
      </c>
      <c r="I43">
        <f>IF('INPUT_L1'!D40="A",1/VLOOKUP('INPUT_L1'!E40,$A$7:$D$15,3,FALSE),VLOOKUP('INPUT_L1'!E40,$A$7:$D$15,3,FALSE))</f>
      </c>
      <c r="J43">
        <v>1</v>
      </c>
      <c r="K43">
        <f>SUM(B43:J43)</f>
      </c>
    </row>
    <row r="44">
      <c r="A44" t="str">
        <v>TOTAL</v>
      </c>
      <c r="K44">
        <f>SUM(K36:K44)</f>
      </c>
    </row>
    <row r="47">
      <c r="A47" t="str">
        <v>MATRIKS TFN — Komponen u (Upper)</v>
      </c>
    </row>
    <row r="48">
      <c r="A48" t="str">
        <v/>
      </c>
      <c r="B48" t="str">
        <v>CP1</v>
      </c>
      <c r="C48" t="str">
        <v>CP2</v>
      </c>
      <c r="D48" t="str">
        <v>CP3</v>
      </c>
      <c r="E48" t="str">
        <v>CP4</v>
      </c>
      <c r="F48" t="str">
        <v>CP5</v>
      </c>
      <c r="G48" t="str">
        <v>CP6</v>
      </c>
      <c r="H48" t="str">
        <v>CP7</v>
      </c>
      <c r="I48" t="str">
        <v>CP8</v>
      </c>
      <c r="J48" t="str">
        <v>CP9</v>
      </c>
      <c r="K48" t="str">
        <v>Σ Baris</v>
      </c>
    </row>
    <row r="49">
      <c r="A49" t="str">
        <v>CP1</v>
      </c>
      <c r="B49">
        <v>1</v>
      </c>
      <c r="C49">
        <f>IF('INPUT_L1'!D5="A",VLOOKUP('INPUT_L1'!E5,$A$7:$D$15,4,FALSE),1/VLOOKUP('INPUT_L1'!E5,$A$7:$D$15,2,FALSE))</f>
      </c>
      <c r="D49">
        <f>IF('INPUT_L1'!D6="A",VLOOKUP('INPUT_L1'!E6,$A$7:$D$15,4,FALSE),1/VLOOKUP('INPUT_L1'!E6,$A$7:$D$15,2,FALSE))</f>
      </c>
      <c r="E49">
        <f>IF('INPUT_L1'!D7="A",VLOOKUP('INPUT_L1'!E7,$A$7:$D$15,4,FALSE),1/VLOOKUP('INPUT_L1'!E7,$A$7:$D$15,2,FALSE))</f>
      </c>
      <c r="F49">
        <f>IF('INPUT_L1'!D8="A",VLOOKUP('INPUT_L1'!E8,$A$7:$D$15,4,FALSE),1/VLOOKUP('INPUT_L1'!E8,$A$7:$D$15,2,FALSE))</f>
      </c>
      <c r="G49">
        <f>IF('INPUT_L1'!D9="A",VLOOKUP('INPUT_L1'!E9,$A$7:$D$15,4,FALSE),1/VLOOKUP('INPUT_L1'!E9,$A$7:$D$15,2,FALSE))</f>
      </c>
      <c r="H49">
        <f>IF('INPUT_L1'!D10="A",VLOOKUP('INPUT_L1'!E10,$A$7:$D$15,4,FALSE),1/VLOOKUP('INPUT_L1'!E10,$A$7:$D$15,2,FALSE))</f>
      </c>
      <c r="I49">
        <f>IF('INPUT_L1'!D11="A",VLOOKUP('INPUT_L1'!E11,$A$7:$D$15,4,FALSE),1/VLOOKUP('INPUT_L1'!E11,$A$7:$D$15,2,FALSE))</f>
      </c>
      <c r="J49">
        <f>IF('INPUT_L1'!D12="A",VLOOKUP('INPUT_L1'!E12,$A$7:$D$15,4,FALSE),1/VLOOKUP('INPUT_L1'!E12,$A$7:$D$15,2,FALSE))</f>
      </c>
      <c r="K49">
        <f>SUM(B49:J49)</f>
      </c>
    </row>
    <row r="50">
      <c r="A50" t="str">
        <v>CP2</v>
      </c>
      <c r="B50">
        <f>IF('INPUT_L1'!D5="A",1/VLOOKUP('INPUT_L1'!E5,$A$7:$D$15,2,FALSE),VLOOKUP('INPUT_L1'!E5,$A$7:$D$15,4,FALSE))</f>
      </c>
      <c r="C50">
        <v>1</v>
      </c>
      <c r="D50">
        <f>IF('INPUT_L1'!D13="A",VLOOKUP('INPUT_L1'!E13,$A$7:$D$15,4,FALSE),1/VLOOKUP('INPUT_L1'!E13,$A$7:$D$15,2,FALSE))</f>
      </c>
      <c r="E50">
        <f>IF('INPUT_L1'!D14="A",VLOOKUP('INPUT_L1'!E14,$A$7:$D$15,4,FALSE),1/VLOOKUP('INPUT_L1'!E14,$A$7:$D$15,2,FALSE))</f>
      </c>
      <c r="F50">
        <f>IF('INPUT_L1'!D15="A",VLOOKUP('INPUT_L1'!E15,$A$7:$D$15,4,FALSE),1/VLOOKUP('INPUT_L1'!E15,$A$7:$D$15,2,FALSE))</f>
      </c>
      <c r="G50">
        <f>IF('INPUT_L1'!D16="A",VLOOKUP('INPUT_L1'!E16,$A$7:$D$15,4,FALSE),1/VLOOKUP('INPUT_L1'!E16,$A$7:$D$15,2,FALSE))</f>
      </c>
      <c r="H50">
        <f>IF('INPUT_L1'!D17="A",VLOOKUP('INPUT_L1'!E17,$A$7:$D$15,4,FALSE),1/VLOOKUP('INPUT_L1'!E17,$A$7:$D$15,2,FALSE))</f>
      </c>
      <c r="I50">
        <f>IF('INPUT_L1'!D18="A",VLOOKUP('INPUT_L1'!E18,$A$7:$D$15,4,FALSE),1/VLOOKUP('INPUT_L1'!E18,$A$7:$D$15,2,FALSE))</f>
      </c>
      <c r="J50">
        <f>IF('INPUT_L1'!D19="A",VLOOKUP('INPUT_L1'!E19,$A$7:$D$15,4,FALSE),1/VLOOKUP('INPUT_L1'!E19,$A$7:$D$15,2,FALSE))</f>
      </c>
      <c r="K50">
        <f>SUM(B50:J50)</f>
      </c>
    </row>
    <row r="51">
      <c r="A51" t="str">
        <v>CP3</v>
      </c>
      <c r="B51">
        <f>IF('INPUT_L1'!D6="A",1/VLOOKUP('INPUT_L1'!E6,$A$7:$D$15,2,FALSE),VLOOKUP('INPUT_L1'!E6,$A$7:$D$15,4,FALSE))</f>
      </c>
      <c r="C51">
        <f>IF('INPUT_L1'!D13="A",1/VLOOKUP('INPUT_L1'!E13,$A$7:$D$15,2,FALSE),VLOOKUP('INPUT_L1'!E13,$A$7:$D$15,4,FALSE))</f>
      </c>
      <c r="D51">
        <v>1</v>
      </c>
      <c r="E51">
        <f>IF('INPUT_L1'!D20="A",VLOOKUP('INPUT_L1'!E20,$A$7:$D$15,4,FALSE),1/VLOOKUP('INPUT_L1'!E20,$A$7:$D$15,2,FALSE))</f>
      </c>
      <c r="F51">
        <f>IF('INPUT_L1'!D21="A",VLOOKUP('INPUT_L1'!E21,$A$7:$D$15,4,FALSE),1/VLOOKUP('INPUT_L1'!E21,$A$7:$D$15,2,FALSE))</f>
      </c>
      <c r="G51">
        <f>IF('INPUT_L1'!D22="A",VLOOKUP('INPUT_L1'!E22,$A$7:$D$15,4,FALSE),1/VLOOKUP('INPUT_L1'!E22,$A$7:$D$15,2,FALSE))</f>
      </c>
      <c r="H51">
        <f>IF('INPUT_L1'!D23="A",VLOOKUP('INPUT_L1'!E23,$A$7:$D$15,4,FALSE),1/VLOOKUP('INPUT_L1'!E23,$A$7:$D$15,2,FALSE))</f>
      </c>
      <c r="I51">
        <f>IF('INPUT_L1'!D24="A",VLOOKUP('INPUT_L1'!E24,$A$7:$D$15,4,FALSE),1/VLOOKUP('INPUT_L1'!E24,$A$7:$D$15,2,FALSE))</f>
      </c>
      <c r="J51">
        <f>IF('INPUT_L1'!D25="A",VLOOKUP('INPUT_L1'!E25,$A$7:$D$15,4,FALSE),1/VLOOKUP('INPUT_L1'!E25,$A$7:$D$15,2,FALSE))</f>
      </c>
      <c r="K51">
        <f>SUM(B51:J51)</f>
      </c>
    </row>
    <row r="52">
      <c r="A52" t="str">
        <v>CP4</v>
      </c>
      <c r="B52">
        <f>IF('INPUT_L1'!D7="A",1/VLOOKUP('INPUT_L1'!E7,$A$7:$D$15,2,FALSE),VLOOKUP('INPUT_L1'!E7,$A$7:$D$15,4,FALSE))</f>
      </c>
      <c r="C52">
        <f>IF('INPUT_L1'!D14="A",1/VLOOKUP('INPUT_L1'!E14,$A$7:$D$15,2,FALSE),VLOOKUP('INPUT_L1'!E14,$A$7:$D$15,4,FALSE))</f>
      </c>
      <c r="D52">
        <f>IF('INPUT_L1'!D20="A",1/VLOOKUP('INPUT_L1'!E20,$A$7:$D$15,2,FALSE),VLOOKUP('INPUT_L1'!E20,$A$7:$D$15,4,FALSE))</f>
      </c>
      <c r="E52">
        <v>1</v>
      </c>
      <c r="F52">
        <f>IF('INPUT_L1'!D26="A",VLOOKUP('INPUT_L1'!E26,$A$7:$D$15,4,FALSE),1/VLOOKUP('INPUT_L1'!E26,$A$7:$D$15,2,FALSE))</f>
      </c>
      <c r="G52">
        <f>IF('INPUT_L1'!D27="A",VLOOKUP('INPUT_L1'!E27,$A$7:$D$15,4,FALSE),1/VLOOKUP('INPUT_L1'!E27,$A$7:$D$15,2,FALSE))</f>
      </c>
      <c r="H52">
        <f>IF('INPUT_L1'!D28="A",VLOOKUP('INPUT_L1'!E28,$A$7:$D$15,4,FALSE),1/VLOOKUP('INPUT_L1'!E28,$A$7:$D$15,2,FALSE))</f>
      </c>
      <c r="I52">
        <f>IF('INPUT_L1'!D29="A",VLOOKUP('INPUT_L1'!E29,$A$7:$D$15,4,FALSE),1/VLOOKUP('INPUT_L1'!E29,$A$7:$D$15,2,FALSE))</f>
      </c>
      <c r="J52">
        <f>IF('INPUT_L1'!D30="A",VLOOKUP('INPUT_L1'!E30,$A$7:$D$15,4,FALSE),1/VLOOKUP('INPUT_L1'!E30,$A$7:$D$15,2,FALSE))</f>
      </c>
      <c r="K52">
        <f>SUM(B52:J52)</f>
      </c>
    </row>
    <row r="53">
      <c r="A53" t="str">
        <v>CP5</v>
      </c>
      <c r="B53">
        <f>IF('INPUT_L1'!D8="A",1/VLOOKUP('INPUT_L1'!E8,$A$7:$D$15,2,FALSE),VLOOKUP('INPUT_L1'!E8,$A$7:$D$15,4,FALSE))</f>
      </c>
      <c r="C53">
        <f>IF('INPUT_L1'!D15="A",1/VLOOKUP('INPUT_L1'!E15,$A$7:$D$15,2,FALSE),VLOOKUP('INPUT_L1'!E15,$A$7:$D$15,4,FALSE))</f>
      </c>
      <c r="D53">
        <f>IF('INPUT_L1'!D21="A",1/VLOOKUP('INPUT_L1'!E21,$A$7:$D$15,2,FALSE),VLOOKUP('INPUT_L1'!E21,$A$7:$D$15,4,FALSE))</f>
      </c>
      <c r="E53">
        <f>IF('INPUT_L1'!D26="A",1/VLOOKUP('INPUT_L1'!E26,$A$7:$D$15,2,FALSE),VLOOKUP('INPUT_L1'!E26,$A$7:$D$15,4,FALSE))</f>
      </c>
      <c r="F53">
        <v>1</v>
      </c>
      <c r="G53">
        <f>IF('INPUT_L1'!D31="A",VLOOKUP('INPUT_L1'!E31,$A$7:$D$15,4,FALSE),1/VLOOKUP('INPUT_L1'!E31,$A$7:$D$15,2,FALSE))</f>
      </c>
      <c r="H53">
        <f>IF('INPUT_L1'!D32="A",VLOOKUP('INPUT_L1'!E32,$A$7:$D$15,4,FALSE),1/VLOOKUP('INPUT_L1'!E32,$A$7:$D$15,2,FALSE))</f>
      </c>
      <c r="I53">
        <f>IF('INPUT_L1'!D33="A",VLOOKUP('INPUT_L1'!E33,$A$7:$D$15,4,FALSE),1/VLOOKUP('INPUT_L1'!E33,$A$7:$D$15,2,FALSE))</f>
      </c>
      <c r="J53">
        <f>IF('INPUT_L1'!D34="A",VLOOKUP('INPUT_L1'!E34,$A$7:$D$15,4,FALSE),1/VLOOKUP('INPUT_L1'!E34,$A$7:$D$15,2,FALSE))</f>
      </c>
      <c r="K53">
        <f>SUM(B53:J53)</f>
      </c>
    </row>
    <row r="54">
      <c r="A54" t="str">
        <v>CP6</v>
      </c>
      <c r="B54">
        <f>IF('INPUT_L1'!D9="A",1/VLOOKUP('INPUT_L1'!E9,$A$7:$D$15,2,FALSE),VLOOKUP('INPUT_L1'!E9,$A$7:$D$15,4,FALSE))</f>
      </c>
      <c r="C54">
        <f>IF('INPUT_L1'!D16="A",1/VLOOKUP('INPUT_L1'!E16,$A$7:$D$15,2,FALSE),VLOOKUP('INPUT_L1'!E16,$A$7:$D$15,4,FALSE))</f>
      </c>
      <c r="D54">
        <f>IF('INPUT_L1'!D22="A",1/VLOOKUP('INPUT_L1'!E22,$A$7:$D$15,2,FALSE),VLOOKUP('INPUT_L1'!E22,$A$7:$D$15,4,FALSE))</f>
      </c>
      <c r="E54">
        <f>IF('INPUT_L1'!D27="A",1/VLOOKUP('INPUT_L1'!E27,$A$7:$D$15,2,FALSE),VLOOKUP('INPUT_L1'!E27,$A$7:$D$15,4,FALSE))</f>
      </c>
      <c r="F54">
        <f>IF('INPUT_L1'!D31="A",1/VLOOKUP('INPUT_L1'!E31,$A$7:$D$15,2,FALSE),VLOOKUP('INPUT_L1'!E31,$A$7:$D$15,4,FALSE))</f>
      </c>
      <c r="G54">
        <v>1</v>
      </c>
      <c r="H54">
        <f>IF('INPUT_L1'!D35="A",VLOOKUP('INPUT_L1'!E35,$A$7:$D$15,4,FALSE),1/VLOOKUP('INPUT_L1'!E35,$A$7:$D$15,2,FALSE))</f>
      </c>
      <c r="I54">
        <f>IF('INPUT_L1'!D36="A",VLOOKUP('INPUT_L1'!E36,$A$7:$D$15,4,FALSE),1/VLOOKUP('INPUT_L1'!E36,$A$7:$D$15,2,FALSE))</f>
      </c>
      <c r="J54">
        <f>IF('INPUT_L1'!D37="A",VLOOKUP('INPUT_L1'!E37,$A$7:$D$15,4,FALSE),1/VLOOKUP('INPUT_L1'!E37,$A$7:$D$15,2,FALSE))</f>
      </c>
      <c r="K54">
        <f>SUM(B54:J54)</f>
      </c>
    </row>
    <row r="55">
      <c r="A55" t="str">
        <v>CP7</v>
      </c>
      <c r="B55">
        <f>IF('INPUT_L1'!D10="A",1/VLOOKUP('INPUT_L1'!E10,$A$7:$D$15,2,FALSE),VLOOKUP('INPUT_L1'!E10,$A$7:$D$15,4,FALSE))</f>
      </c>
      <c r="C55">
        <f>IF('INPUT_L1'!D17="A",1/VLOOKUP('INPUT_L1'!E17,$A$7:$D$15,2,FALSE),VLOOKUP('INPUT_L1'!E17,$A$7:$D$15,4,FALSE))</f>
      </c>
      <c r="D55">
        <f>IF('INPUT_L1'!D23="A",1/VLOOKUP('INPUT_L1'!E23,$A$7:$D$15,2,FALSE),VLOOKUP('INPUT_L1'!E23,$A$7:$D$15,4,FALSE))</f>
      </c>
      <c r="E55">
        <f>IF('INPUT_L1'!D28="A",1/VLOOKUP('INPUT_L1'!E28,$A$7:$D$15,2,FALSE),VLOOKUP('INPUT_L1'!E28,$A$7:$D$15,4,FALSE))</f>
      </c>
      <c r="F55">
        <f>IF('INPUT_L1'!D32="A",1/VLOOKUP('INPUT_L1'!E32,$A$7:$D$15,2,FALSE),VLOOKUP('INPUT_L1'!E32,$A$7:$D$15,4,FALSE))</f>
      </c>
      <c r="G55">
        <f>IF('INPUT_L1'!D35="A",1/VLOOKUP('INPUT_L1'!E35,$A$7:$D$15,2,FALSE),VLOOKUP('INPUT_L1'!E35,$A$7:$D$15,4,FALSE))</f>
      </c>
      <c r="H55">
        <v>1</v>
      </c>
      <c r="I55">
        <f>IF('INPUT_L1'!D38="A",VLOOKUP('INPUT_L1'!E38,$A$7:$D$15,4,FALSE),1/VLOOKUP('INPUT_L1'!E38,$A$7:$D$15,2,FALSE))</f>
      </c>
      <c r="J55">
        <f>IF('INPUT_L1'!D39="A",VLOOKUP('INPUT_L1'!E39,$A$7:$D$15,4,FALSE),1/VLOOKUP('INPUT_L1'!E39,$A$7:$D$15,2,FALSE))</f>
      </c>
      <c r="K55">
        <f>SUM(B55:J55)</f>
      </c>
    </row>
    <row r="56">
      <c r="A56" t="str">
        <v>CP8</v>
      </c>
      <c r="B56">
        <f>IF('INPUT_L1'!D11="A",1/VLOOKUP('INPUT_L1'!E11,$A$7:$D$15,2,FALSE),VLOOKUP('INPUT_L1'!E11,$A$7:$D$15,4,FALSE))</f>
      </c>
      <c r="C56">
        <f>IF('INPUT_L1'!D18="A",1/VLOOKUP('INPUT_L1'!E18,$A$7:$D$15,2,FALSE),VLOOKUP('INPUT_L1'!E18,$A$7:$D$15,4,FALSE))</f>
      </c>
      <c r="D56">
        <f>IF('INPUT_L1'!D24="A",1/VLOOKUP('INPUT_L1'!E24,$A$7:$D$15,2,FALSE),VLOOKUP('INPUT_L1'!E24,$A$7:$D$15,4,FALSE))</f>
      </c>
      <c r="E56">
        <f>IF('INPUT_L1'!D29="A",1/VLOOKUP('INPUT_L1'!E29,$A$7:$D$15,2,FALSE),VLOOKUP('INPUT_L1'!E29,$A$7:$D$15,4,FALSE))</f>
      </c>
      <c r="F56">
        <f>IF('INPUT_L1'!D33="A",1/VLOOKUP('INPUT_L1'!E33,$A$7:$D$15,2,FALSE),VLOOKUP('INPUT_L1'!E33,$A$7:$D$15,4,FALSE))</f>
      </c>
      <c r="G56">
        <f>IF('INPUT_L1'!D36="A",1/VLOOKUP('INPUT_L1'!E36,$A$7:$D$15,2,FALSE),VLOOKUP('INPUT_L1'!E36,$A$7:$D$15,4,FALSE))</f>
      </c>
      <c r="H56">
        <f>IF('INPUT_L1'!D38="A",1/VLOOKUP('INPUT_L1'!E38,$A$7:$D$15,2,FALSE),VLOOKUP('INPUT_L1'!E38,$A$7:$D$15,4,FALSE))</f>
      </c>
      <c r="I56">
        <v>1</v>
      </c>
      <c r="J56">
        <f>IF('INPUT_L1'!D40="A",VLOOKUP('INPUT_L1'!E40,$A$7:$D$15,4,FALSE),1/VLOOKUP('INPUT_L1'!E40,$A$7:$D$15,2,FALSE))</f>
      </c>
      <c r="K56">
        <f>SUM(B56:J56)</f>
      </c>
    </row>
    <row r="57">
      <c r="A57" t="str">
        <v>CP9</v>
      </c>
      <c r="B57">
        <f>IF('INPUT_L1'!D12="A",1/VLOOKUP('INPUT_L1'!E12,$A$7:$D$15,2,FALSE),VLOOKUP('INPUT_L1'!E12,$A$7:$D$15,4,FALSE))</f>
      </c>
      <c r="C57">
        <f>IF('INPUT_L1'!D19="A",1/VLOOKUP('INPUT_L1'!E19,$A$7:$D$15,2,FALSE),VLOOKUP('INPUT_L1'!E19,$A$7:$D$15,4,FALSE))</f>
      </c>
      <c r="D57">
        <f>IF('INPUT_L1'!D25="A",1/VLOOKUP('INPUT_L1'!E25,$A$7:$D$15,2,FALSE),VLOOKUP('INPUT_L1'!E25,$A$7:$D$15,4,FALSE))</f>
      </c>
      <c r="E57">
        <f>IF('INPUT_L1'!D30="A",1/VLOOKUP('INPUT_L1'!E30,$A$7:$D$15,2,FALSE),VLOOKUP('INPUT_L1'!E30,$A$7:$D$15,4,FALSE))</f>
      </c>
      <c r="F57">
        <f>IF('INPUT_L1'!D34="A",1/VLOOKUP('INPUT_L1'!E34,$A$7:$D$15,2,FALSE),VLOOKUP('INPUT_L1'!E34,$A$7:$D$15,4,FALSE))</f>
      </c>
      <c r="G57">
        <f>IF('INPUT_L1'!D37="A",1/VLOOKUP('INPUT_L1'!E37,$A$7:$D$15,2,FALSE),VLOOKUP('INPUT_L1'!E37,$A$7:$D$15,4,FALSE))</f>
      </c>
      <c r="H57">
        <f>IF('INPUT_L1'!D39="A",1/VLOOKUP('INPUT_L1'!E39,$A$7:$D$15,2,FALSE),VLOOKUP('INPUT_L1'!E39,$A$7:$D$15,4,FALSE))</f>
      </c>
      <c r="I57">
        <f>IF('INPUT_L1'!D40="A",1/VLOOKUP('INPUT_L1'!E40,$A$7:$D$15,2,FALSE),VLOOKUP('INPUT_L1'!E40,$A$7:$D$15,4,FALSE))</f>
      </c>
      <c r="J57">
        <v>1</v>
      </c>
      <c r="K57">
        <f>SUM(B57:J57)</f>
      </c>
    </row>
    <row r="58">
      <c r="A58" t="str">
        <v>TOTAL</v>
      </c>
      <c r="K58">
        <f>SUM(K50:K58)</f>
      </c>
    </row>
  </sheetData>
  <ignoredErrors>
    <ignoredError numberStoredAsText="1" sqref="A1:M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1 — Antar Critical Point (CP1, CP2, CP3, CP4, CP5, CP6, CP7, CP8, CP9)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CP1</v>
      </c>
      <c r="B7">
        <f>'FUZZY_L1'!K21</f>
      </c>
      <c r="C7">
        <f>'FUZZY_L1'!K36</f>
      </c>
      <c r="D7">
        <f>'FUZZY_L1'!K50</f>
      </c>
      <c r="E7">
        <f>'FUZZY_L1'!K30</f>
      </c>
      <c r="F7">
        <f>'FUZZY_L1'!K44</f>
      </c>
      <c r="G7">
        <f>'FUZZY_L1'!K58</f>
      </c>
      <c r="H7">
        <f>B7*(1/G7)</f>
      </c>
      <c r="I7">
        <f>C7*(1/F7)</f>
      </c>
      <c r="J7">
        <f>D7*(1/E7)</f>
      </c>
    </row>
    <row r="8">
      <c r="A8" t="str">
        <v>CP2</v>
      </c>
      <c r="B8">
        <f>'FUZZY_L1'!K22</f>
      </c>
      <c r="C8">
        <f>'FUZZY_L1'!K37</f>
      </c>
      <c r="D8">
        <f>'FUZZY_L1'!K51</f>
      </c>
      <c r="E8">
        <f>'FUZZY_L1'!K30</f>
      </c>
      <c r="F8">
        <f>'FUZZY_L1'!K44</f>
      </c>
      <c r="G8">
        <f>'FUZZY_L1'!K58</f>
      </c>
      <c r="H8">
        <f>B8*(1/G8)</f>
      </c>
      <c r="I8">
        <f>C8*(1/F8)</f>
      </c>
      <c r="J8">
        <f>D8*(1/E8)</f>
      </c>
    </row>
    <row r="9">
      <c r="A9" t="str">
        <v>CP3</v>
      </c>
      <c r="B9">
        <f>'FUZZY_L1'!K23</f>
      </c>
      <c r="C9">
        <f>'FUZZY_L1'!K38</f>
      </c>
      <c r="D9">
        <f>'FUZZY_L1'!K52</f>
      </c>
      <c r="E9">
        <f>'FUZZY_L1'!K30</f>
      </c>
      <c r="F9">
        <f>'FUZZY_L1'!K44</f>
      </c>
      <c r="G9">
        <f>'FUZZY_L1'!K58</f>
      </c>
      <c r="H9">
        <f>B9*(1/G9)</f>
      </c>
      <c r="I9">
        <f>C9*(1/F9)</f>
      </c>
      <c r="J9">
        <f>D9*(1/E9)</f>
      </c>
    </row>
    <row r="10">
      <c r="A10" t="str">
        <v>CP4</v>
      </c>
      <c r="B10">
        <f>'FUZZY_L1'!K24</f>
      </c>
      <c r="C10">
        <f>'FUZZY_L1'!K39</f>
      </c>
      <c r="D10">
        <f>'FUZZY_L1'!K53</f>
      </c>
      <c r="E10">
        <f>'FUZZY_L1'!K30</f>
      </c>
      <c r="F10">
        <f>'FUZZY_L1'!K44</f>
      </c>
      <c r="G10">
        <f>'FUZZY_L1'!K58</f>
      </c>
      <c r="H10">
        <f>B10*(1/G10)</f>
      </c>
      <c r="I10">
        <f>C10*(1/F10)</f>
      </c>
      <c r="J10">
        <f>D10*(1/E10)</f>
      </c>
    </row>
    <row r="11">
      <c r="A11" t="str">
        <v>CP5</v>
      </c>
      <c r="B11">
        <f>'FUZZY_L1'!K25</f>
      </c>
      <c r="C11">
        <f>'FUZZY_L1'!K40</f>
      </c>
      <c r="D11">
        <f>'FUZZY_L1'!K54</f>
      </c>
      <c r="E11">
        <f>'FUZZY_L1'!K30</f>
      </c>
      <c r="F11">
        <f>'FUZZY_L1'!K44</f>
      </c>
      <c r="G11">
        <f>'FUZZY_L1'!K58</f>
      </c>
      <c r="H11">
        <f>B11*(1/G11)</f>
      </c>
      <c r="I11">
        <f>C11*(1/F11)</f>
      </c>
      <c r="J11">
        <f>D11*(1/E11)</f>
      </c>
    </row>
    <row r="12">
      <c r="A12" t="str">
        <v>CP6</v>
      </c>
      <c r="B12">
        <f>'FUZZY_L1'!K26</f>
      </c>
      <c r="C12">
        <f>'FUZZY_L1'!K41</f>
      </c>
      <c r="D12">
        <f>'FUZZY_L1'!K55</f>
      </c>
      <c r="E12">
        <f>'FUZZY_L1'!K30</f>
      </c>
      <c r="F12">
        <f>'FUZZY_L1'!K44</f>
      </c>
      <c r="G12">
        <f>'FUZZY_L1'!K58</f>
      </c>
      <c r="H12">
        <f>B12*(1/G12)</f>
      </c>
      <c r="I12">
        <f>C12*(1/F12)</f>
      </c>
      <c r="J12">
        <f>D12*(1/E12)</f>
      </c>
    </row>
    <row r="13">
      <c r="A13" t="str">
        <v>CP7</v>
      </c>
      <c r="B13">
        <f>'FUZZY_L1'!K27</f>
      </c>
      <c r="C13">
        <f>'FUZZY_L1'!K42</f>
      </c>
      <c r="D13">
        <f>'FUZZY_L1'!K56</f>
      </c>
      <c r="E13">
        <f>'FUZZY_L1'!K30</f>
      </c>
      <c r="F13">
        <f>'FUZZY_L1'!K44</f>
      </c>
      <c r="G13">
        <f>'FUZZY_L1'!K58</f>
      </c>
      <c r="H13">
        <f>B13*(1/G13)</f>
      </c>
      <c r="I13">
        <f>C13*(1/F13)</f>
      </c>
      <c r="J13">
        <f>D13*(1/E13)</f>
      </c>
    </row>
    <row r="14">
      <c r="A14" t="str">
        <v>CP8</v>
      </c>
      <c r="B14">
        <f>'FUZZY_L1'!K28</f>
      </c>
      <c r="C14">
        <f>'FUZZY_L1'!K43</f>
      </c>
      <c r="D14">
        <f>'FUZZY_L1'!K57</f>
      </c>
      <c r="E14">
        <f>'FUZZY_L1'!K30</f>
      </c>
      <c r="F14">
        <f>'FUZZY_L1'!K44</f>
      </c>
      <c r="G14">
        <f>'FUZZY_L1'!K58</f>
      </c>
      <c r="H14">
        <f>B14*(1/G14)</f>
      </c>
      <c r="I14">
        <f>C14*(1/F14)</f>
      </c>
      <c r="J14">
        <f>D14*(1/E14)</f>
      </c>
    </row>
    <row r="15">
      <c r="A15" t="str">
        <v>CP9</v>
      </c>
      <c r="B15">
        <f>'FUZZY_L1'!K29</f>
      </c>
      <c r="C15">
        <f>'FUZZY_L1'!K44</f>
      </c>
      <c r="D15">
        <f>'FUZZY_L1'!K58</f>
      </c>
      <c r="E15">
        <f>'FUZZY_L1'!K30</f>
      </c>
      <c r="F15">
        <f>'FUZZY_L1'!K44</f>
      </c>
      <c r="G15">
        <f>'FUZZY_L1'!K58</f>
      </c>
      <c r="H15">
        <f>B15*(1/G15)</f>
      </c>
      <c r="I15">
        <f>C15*(1/F15)</f>
      </c>
      <c r="J15">
        <f>D15*(1/E15)</f>
      </c>
    </row>
    <row r="18">
      <c r="A18" t="str">
        <v>LANGKAH 2: Defuzzifikasi (Center of Area) + Normalisasi</v>
      </c>
    </row>
    <row r="19">
      <c r="A19" t="str">
        <v>Kriteria</v>
      </c>
      <c r="B19" t="str">
        <v>Si_l</v>
      </c>
      <c r="C19" t="str">
        <v>Si_m</v>
      </c>
      <c r="D19" t="str">
        <v>Si_u</v>
      </c>
      <c r="E19" t="str">
        <v>Defuzzy = (l+m+u)/3</v>
      </c>
      <c r="F19" t="str">
        <v>Bobot Normal</v>
      </c>
      <c r="G19" t="str">
        <v>Bobot %</v>
      </c>
      <c r="H19" t="str">
        <v>Ranking</v>
      </c>
    </row>
    <row r="20">
      <c r="A20" t="str">
        <v>CP1</v>
      </c>
      <c r="B20">
        <f>H7</f>
      </c>
      <c r="C20">
        <f>I7</f>
      </c>
      <c r="D20">
        <f>J7</f>
      </c>
      <c r="E20">
        <f>(B20+C20+D20)/3</f>
      </c>
      <c r="F20">
        <f>E20/E29</f>
      </c>
      <c r="G20">
        <f>F20*100</f>
      </c>
      <c r="H20">
        <f>RANK(F20,F$20:F$28,0)</f>
      </c>
    </row>
    <row r="21">
      <c r="A21" t="str">
        <v>CP2</v>
      </c>
      <c r="B21">
        <f>H8</f>
      </c>
      <c r="C21">
        <f>I8</f>
      </c>
      <c r="D21">
        <f>J8</f>
      </c>
      <c r="E21">
        <f>(B21+C21+D21)/3</f>
      </c>
      <c r="F21">
        <f>E21/E29</f>
      </c>
      <c r="G21">
        <f>F21*100</f>
      </c>
      <c r="H21">
        <f>RANK(F21,F$20:F$28,0)</f>
      </c>
    </row>
    <row r="22">
      <c r="A22" t="str">
        <v>CP3</v>
      </c>
      <c r="B22">
        <f>H9</f>
      </c>
      <c r="C22">
        <f>I9</f>
      </c>
      <c r="D22">
        <f>J9</f>
      </c>
      <c r="E22">
        <f>(B22+C22+D22)/3</f>
      </c>
      <c r="F22">
        <f>E22/E29</f>
      </c>
      <c r="G22">
        <f>F22*100</f>
      </c>
      <c r="H22">
        <f>RANK(F22,F$20:F$28,0)</f>
      </c>
    </row>
    <row r="23">
      <c r="A23" t="str">
        <v>CP4</v>
      </c>
      <c r="B23">
        <f>H10</f>
      </c>
      <c r="C23">
        <f>I10</f>
      </c>
      <c r="D23">
        <f>J10</f>
      </c>
      <c r="E23">
        <f>(B23+C23+D23)/3</f>
      </c>
      <c r="F23">
        <f>E23/E29</f>
      </c>
      <c r="G23">
        <f>F23*100</f>
      </c>
      <c r="H23">
        <f>RANK(F23,F$20:F$28,0)</f>
      </c>
    </row>
    <row r="24">
      <c r="A24" t="str">
        <v>CP5</v>
      </c>
      <c r="B24">
        <f>H11</f>
      </c>
      <c r="C24">
        <f>I11</f>
      </c>
      <c r="D24">
        <f>J11</f>
      </c>
      <c r="E24">
        <f>(B24+C24+D24)/3</f>
      </c>
      <c r="F24">
        <f>E24/E29</f>
      </c>
      <c r="G24">
        <f>F24*100</f>
      </c>
      <c r="H24">
        <f>RANK(F24,F$20:F$28,0)</f>
      </c>
    </row>
    <row r="25">
      <c r="A25" t="str">
        <v>CP6</v>
      </c>
      <c r="B25">
        <f>H12</f>
      </c>
      <c r="C25">
        <f>I12</f>
      </c>
      <c r="D25">
        <f>J12</f>
      </c>
      <c r="E25">
        <f>(B25+C25+D25)/3</f>
      </c>
      <c r="F25">
        <f>E25/E29</f>
      </c>
      <c r="G25">
        <f>F25*100</f>
      </c>
      <c r="H25">
        <f>RANK(F25,F$20:F$28,0)</f>
      </c>
    </row>
    <row r="26">
      <c r="A26" t="str">
        <v>CP7</v>
      </c>
      <c r="B26">
        <f>H13</f>
      </c>
      <c r="C26">
        <f>I13</f>
      </c>
      <c r="D26">
        <f>J13</f>
      </c>
      <c r="E26">
        <f>(B26+C26+D26)/3</f>
      </c>
      <c r="F26">
        <f>E26/E29</f>
      </c>
      <c r="G26">
        <f>F26*100</f>
      </c>
      <c r="H26">
        <f>RANK(F26,F$20:F$28,0)</f>
      </c>
    </row>
    <row r="27">
      <c r="A27" t="str">
        <v>CP8</v>
      </c>
      <c r="B27">
        <f>H14</f>
      </c>
      <c r="C27">
        <f>I14</f>
      </c>
      <c r="D27">
        <f>J14</f>
      </c>
      <c r="E27">
        <f>(B27+C27+D27)/3</f>
      </c>
      <c r="F27">
        <f>E27/E29</f>
      </c>
      <c r="G27">
        <f>F27*100</f>
      </c>
      <c r="H27">
        <f>RANK(F27,F$20:F$28,0)</f>
      </c>
    </row>
    <row r="28">
      <c r="A28" t="str">
        <v>CP9</v>
      </c>
      <c r="B28">
        <f>H15</f>
      </c>
      <c r="C28">
        <f>I15</f>
      </c>
      <c r="D28">
        <f>J15</f>
      </c>
      <c r="E28">
        <f>(B28+C28+D28)/3</f>
      </c>
      <c r="F28">
        <f>E28/E29</f>
      </c>
      <c r="G28">
        <f>F28*100</f>
      </c>
      <c r="H28">
        <f>RANK(F28,F$20:F$28,0)</f>
      </c>
    </row>
    <row r="29">
      <c r="D29" t="str">
        <v>TOTAL</v>
      </c>
      <c r="E29">
        <f>SUM(E20:E28)</f>
      </c>
    </row>
  </sheetData>
  <ignoredErrors>
    <ignoredError numberStoredAsText="1" sqref="A1:K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CP1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F1</v>
      </c>
      <c r="C5" t="str">
        <v>F2</v>
      </c>
      <c r="D5" t="str">
        <v>A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F1</v>
      </c>
      <c r="C6" t="str">
        <v>F3</v>
      </c>
      <c r="D6" t="str">
        <v>A</v>
      </c>
      <c r="E6">
        <v>1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F1</v>
      </c>
      <c r="C7" t="str">
        <v>F4</v>
      </c>
      <c r="D7" t="str">
        <v>A</v>
      </c>
      <c r="E7">
        <v>1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F1</v>
      </c>
      <c r="C8" t="str">
        <v>F5</v>
      </c>
      <c r="D8" t="str">
        <v>A</v>
      </c>
      <c r="E8">
        <v>2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F1</v>
      </c>
      <c r="C9" t="str">
        <v>F6</v>
      </c>
      <c r="D9" t="str">
        <v>A</v>
      </c>
      <c r="E9">
        <v>2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F1</v>
      </c>
      <c r="C10" t="str">
        <v>F7</v>
      </c>
      <c r="D10" t="str">
        <v>A</v>
      </c>
      <c r="E10">
        <v>4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F2</v>
      </c>
      <c r="C11" t="str">
        <v>F3</v>
      </c>
      <c r="D11" t="str">
        <v>A</v>
      </c>
      <c r="E11">
        <v>1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F2</v>
      </c>
      <c r="C12" t="str">
        <v>F4</v>
      </c>
      <c r="D12" t="str">
        <v>A</v>
      </c>
      <c r="E12">
        <v>1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F2</v>
      </c>
      <c r="C13" t="str">
        <v>F5</v>
      </c>
      <c r="D13" t="str">
        <v>A</v>
      </c>
      <c r="E13">
        <v>2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F2</v>
      </c>
      <c r="C14" t="str">
        <v>F6</v>
      </c>
      <c r="D14" t="str">
        <v>A</v>
      </c>
      <c r="E14">
        <v>2</v>
      </c>
      <c r="F14">
        <f>IF(E14=1,"Sama Penting",IF(E14=3,"Sedikit Lebih Penting",IF(E14=5,"Lebih Penting",IF(E14=7,"Sangat Lebih Penting",IF(E14=9,"Mutlak Lebih Penting","Nilai Antara")))))</f>
      </c>
    </row>
    <row r="15">
      <c r="A15">
        <v>11</v>
      </c>
      <c r="B15" t="str">
        <v>F2</v>
      </c>
      <c r="C15" t="str">
        <v>F7</v>
      </c>
      <c r="D15" t="str">
        <v>A</v>
      </c>
      <c r="E15">
        <v>4</v>
      </c>
      <c r="F15">
        <f>IF(E15=1,"Sama Penting",IF(E15=3,"Sedikit Lebih Penting",IF(E15=5,"Lebih Penting",IF(E15=7,"Sangat Lebih Penting",IF(E15=9,"Mutlak Lebih Penting","Nilai Antara")))))</f>
      </c>
    </row>
    <row r="16">
      <c r="A16">
        <v>12</v>
      </c>
      <c r="B16" t="str">
        <v>F3</v>
      </c>
      <c r="C16" t="str">
        <v>F4</v>
      </c>
      <c r="D16" t="str">
        <v>A</v>
      </c>
      <c r="E16">
        <v>1</v>
      </c>
      <c r="F16">
        <f>IF(E16=1,"Sama Penting",IF(E16=3,"Sedikit Lebih Penting",IF(E16=5,"Lebih Penting",IF(E16=7,"Sangat Lebih Penting",IF(E16=9,"Mutlak Lebih Penting","Nilai Antara")))))</f>
      </c>
    </row>
    <row r="17">
      <c r="A17">
        <v>13</v>
      </c>
      <c r="B17" t="str">
        <v>F3</v>
      </c>
      <c r="C17" t="str">
        <v>F5</v>
      </c>
      <c r="D17" t="str">
        <v>A</v>
      </c>
      <c r="E17">
        <v>1</v>
      </c>
      <c r="F17">
        <f>IF(E17=1,"Sama Penting",IF(E17=3,"Sedikit Lebih Penting",IF(E17=5,"Lebih Penting",IF(E17=7,"Sangat Lebih Penting",IF(E17=9,"Mutlak Lebih Penting","Nilai Antara")))))</f>
      </c>
    </row>
    <row r="18">
      <c r="A18">
        <v>14</v>
      </c>
      <c r="B18" t="str">
        <v>F3</v>
      </c>
      <c r="C18" t="str">
        <v>F6</v>
      </c>
      <c r="D18" t="str">
        <v>A</v>
      </c>
      <c r="E18">
        <v>2</v>
      </c>
      <c r="F18">
        <f>IF(E18=1,"Sama Penting",IF(E18=3,"Sedikit Lebih Penting",IF(E18=5,"Lebih Penting",IF(E18=7,"Sangat Lebih Penting",IF(E18=9,"Mutlak Lebih Penting","Nilai Antara")))))</f>
      </c>
    </row>
    <row r="19">
      <c r="A19">
        <v>15</v>
      </c>
      <c r="B19" t="str">
        <v>F3</v>
      </c>
      <c r="C19" t="str">
        <v>F7</v>
      </c>
      <c r="D19" t="str">
        <v>A</v>
      </c>
      <c r="E19">
        <v>4</v>
      </c>
      <c r="F19">
        <f>IF(E19=1,"Sama Penting",IF(E19=3,"Sedikit Lebih Penting",IF(E19=5,"Lebih Penting",IF(E19=7,"Sangat Lebih Penting",IF(E19=9,"Mutlak Lebih Penting","Nilai Antara")))))</f>
      </c>
    </row>
    <row r="20">
      <c r="A20">
        <v>16</v>
      </c>
      <c r="B20" t="str">
        <v>F4</v>
      </c>
      <c r="C20" t="str">
        <v>F5</v>
      </c>
      <c r="D20" t="str">
        <v>A</v>
      </c>
      <c r="E20">
        <v>1</v>
      </c>
      <c r="F20">
        <f>IF(E20=1,"Sama Penting",IF(E20=3,"Sedikit Lebih Penting",IF(E20=5,"Lebih Penting",IF(E20=7,"Sangat Lebih Penting",IF(E20=9,"Mutlak Lebih Penting","Nilai Antara")))))</f>
      </c>
    </row>
    <row r="21">
      <c r="A21">
        <v>17</v>
      </c>
      <c r="B21" t="str">
        <v>F4</v>
      </c>
      <c r="C21" t="str">
        <v>F6</v>
      </c>
      <c r="D21" t="str">
        <v>A</v>
      </c>
      <c r="E21">
        <v>1</v>
      </c>
      <c r="F21">
        <f>IF(E21=1,"Sama Penting",IF(E21=3,"Sedikit Lebih Penting",IF(E21=5,"Lebih Penting",IF(E21=7,"Sangat Lebih Penting",IF(E21=9,"Mutlak Lebih Penting","Nilai Antara")))))</f>
      </c>
    </row>
    <row r="22">
      <c r="A22">
        <v>18</v>
      </c>
      <c r="B22" t="str">
        <v>F4</v>
      </c>
      <c r="C22" t="str">
        <v>F7</v>
      </c>
      <c r="D22" t="str">
        <v>A</v>
      </c>
      <c r="E22">
        <v>3</v>
      </c>
      <c r="F22">
        <f>IF(E22=1,"Sama Penting",IF(E22=3,"Sedikit Lebih Penting",IF(E22=5,"Lebih Penting",IF(E22=7,"Sangat Lebih Penting",IF(E22=9,"Mutlak Lebih Penting","Nilai Antara")))))</f>
      </c>
    </row>
    <row r="23">
      <c r="A23">
        <v>19</v>
      </c>
      <c r="B23" t="str">
        <v>F5</v>
      </c>
      <c r="C23" t="str">
        <v>F6</v>
      </c>
      <c r="D23" t="str">
        <v>A</v>
      </c>
      <c r="E23">
        <v>1</v>
      </c>
      <c r="F23">
        <f>IF(E23=1,"Sama Penting",IF(E23=3,"Sedikit Lebih Penting",IF(E23=5,"Lebih Penting",IF(E23=7,"Sangat Lebih Penting",IF(E23=9,"Mutlak Lebih Penting","Nilai Antara")))))</f>
      </c>
    </row>
    <row r="24">
      <c r="A24">
        <v>20</v>
      </c>
      <c r="B24" t="str">
        <v>F5</v>
      </c>
      <c r="C24" t="str">
        <v>F7</v>
      </c>
      <c r="D24" t="str">
        <v>A</v>
      </c>
      <c r="E24">
        <v>2</v>
      </c>
      <c r="F24">
        <f>IF(E24=1,"Sama Penting",IF(E24=3,"Sedikit Lebih Penting",IF(E24=5,"Lebih Penting",IF(E24=7,"Sangat Lebih Penting",IF(E24=9,"Mutlak Lebih Penting","Nilai Antara")))))</f>
      </c>
    </row>
    <row r="25">
      <c r="A25">
        <v>21</v>
      </c>
      <c r="B25" t="str">
        <v>F6</v>
      </c>
      <c r="C25" t="str">
        <v>F7</v>
      </c>
      <c r="D25" t="str">
        <v>A</v>
      </c>
      <c r="E25">
        <v>2</v>
      </c>
      <c r="F25">
        <f>IF(E25=1,"Sama Penting",IF(E25=3,"Sedikit Lebih Penting",IF(E25=5,"Lebih Penting",IF(E25=7,"Sangat Lebih Penting",IF(E25=9,"Mutlak Lebih Penting","Nilai Antara")))))</f>
      </c>
    </row>
    <row r="28">
      <c r="A28" t="str">
        <v>Tabel Random Index (RI) — Saaty</v>
      </c>
    </row>
    <row r="29">
      <c r="A29" t="str">
        <v>n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</row>
    <row r="30">
      <c r="A30" t="str">
        <v>RI</v>
      </c>
      <c r="B30">
        <v>0</v>
      </c>
      <c r="C30">
        <v>0</v>
      </c>
      <c r="D30">
        <v>0.58</v>
      </c>
      <c r="E30">
        <v>0.9</v>
      </c>
      <c r="F30">
        <v>1.12</v>
      </c>
      <c r="G30">
        <v>1.24</v>
      </c>
      <c r="H30">
        <v>1.32</v>
      </c>
      <c r="I30">
        <v>1.41</v>
      </c>
      <c r="J30">
        <v>1.45</v>
      </c>
      <c r="K30">
        <v>1.49</v>
      </c>
    </row>
    <row r="32">
      <c r="A32" t="str">
        <v>Skala Saaty → TFN (Triangular Fuzzy Number)</v>
      </c>
    </row>
    <row r="33">
      <c r="A33" t="str">
        <v>Skala</v>
      </c>
      <c r="B33" t="str">
        <v>l</v>
      </c>
      <c r="C33" t="str">
        <v>m</v>
      </c>
      <c r="D33" t="str">
        <v>u</v>
      </c>
    </row>
    <row r="34">
      <c r="A34">
        <v>1</v>
      </c>
      <c r="B34">
        <v>1</v>
      </c>
      <c r="C34">
        <v>1</v>
      </c>
      <c r="D34">
        <v>1</v>
      </c>
    </row>
    <row r="35">
      <c r="A35">
        <v>2</v>
      </c>
      <c r="B35">
        <v>1</v>
      </c>
      <c r="C35">
        <v>2</v>
      </c>
      <c r="D35">
        <v>3</v>
      </c>
    </row>
    <row r="36">
      <c r="A36">
        <v>3</v>
      </c>
      <c r="B36">
        <v>1</v>
      </c>
      <c r="C36">
        <v>3</v>
      </c>
      <c r="D36">
        <v>5</v>
      </c>
    </row>
    <row r="37">
      <c r="A37">
        <v>4</v>
      </c>
      <c r="B37">
        <v>3</v>
      </c>
      <c r="C37">
        <v>4</v>
      </c>
      <c r="D37">
        <v>5</v>
      </c>
    </row>
    <row r="38">
      <c r="A38">
        <v>5</v>
      </c>
      <c r="B38">
        <v>3</v>
      </c>
      <c r="C38">
        <v>5</v>
      </c>
      <c r="D38">
        <v>7</v>
      </c>
    </row>
    <row r="39">
      <c r="A39">
        <v>6</v>
      </c>
      <c r="B39">
        <v>5</v>
      </c>
      <c r="C39">
        <v>6</v>
      </c>
      <c r="D39">
        <v>7</v>
      </c>
    </row>
    <row r="40">
      <c r="A40">
        <v>7</v>
      </c>
      <c r="B40">
        <v>5</v>
      </c>
      <c r="C40">
        <v>7</v>
      </c>
      <c r="D40">
        <v>9</v>
      </c>
    </row>
    <row r="41">
      <c r="A41">
        <v>8</v>
      </c>
      <c r="B41">
        <v>7</v>
      </c>
      <c r="C41">
        <v>8</v>
      </c>
      <c r="D41">
        <v>9</v>
      </c>
    </row>
    <row r="42">
      <c r="A42">
        <v>9</v>
      </c>
      <c r="B42">
        <v>7</v>
      </c>
      <c r="C42">
        <v>9</v>
      </c>
      <c r="D42">
        <v>9</v>
      </c>
    </row>
  </sheetData>
  <ignoredErrors>
    <ignoredError numberStoredAsText="1" sqref="A1:K4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MATRIKS PERBANDINGAN BERPASANGAN — Level 2 — Sub-Kriteria CP1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F1</v>
      </c>
      <c r="C5" t="str">
        <v>F2</v>
      </c>
      <c r="D5" t="str">
        <v>F3</v>
      </c>
      <c r="E5" t="str">
        <v>F4</v>
      </c>
      <c r="F5" t="str">
        <v>F5</v>
      </c>
      <c r="G5" t="str">
        <v>F6</v>
      </c>
      <c r="H5" t="str">
        <v>F7</v>
      </c>
    </row>
    <row r="6">
      <c r="A6" t="str">
        <v>F1</v>
      </c>
      <c r="B6">
        <v>1</v>
      </c>
      <c r="C6">
        <f>IF('INPUT_CP1'!D5="A",'INPUT_CP1'!E5,1/'INPUT_CP1'!E5)</f>
      </c>
      <c r="D6">
        <f>IF('INPUT_CP1'!D6="A",'INPUT_CP1'!E6,1/'INPUT_CP1'!E6)</f>
      </c>
      <c r="E6">
        <f>IF('INPUT_CP1'!D7="A",'INPUT_CP1'!E7,1/'INPUT_CP1'!E7)</f>
      </c>
      <c r="F6">
        <f>IF('INPUT_CP1'!D8="A",'INPUT_CP1'!E8,1/'INPUT_CP1'!E8)</f>
      </c>
      <c r="G6">
        <f>IF('INPUT_CP1'!D9="A",'INPUT_CP1'!E9,1/'INPUT_CP1'!E9)</f>
      </c>
      <c r="H6">
        <f>IF('INPUT_CP1'!D10="A",'INPUT_CP1'!E10,1/'INPUT_CP1'!E10)</f>
      </c>
    </row>
    <row r="7">
      <c r="A7" t="str">
        <v>F2</v>
      </c>
      <c r="B7">
        <f>1/C6</f>
      </c>
      <c r="C7">
        <v>1</v>
      </c>
      <c r="D7">
        <f>IF('INPUT_CP1'!D11="A",'INPUT_CP1'!E11,1/'INPUT_CP1'!E11)</f>
      </c>
      <c r="E7">
        <f>IF('INPUT_CP1'!D12="A",'INPUT_CP1'!E12,1/'INPUT_CP1'!E12)</f>
      </c>
      <c r="F7">
        <f>IF('INPUT_CP1'!D13="A",'INPUT_CP1'!E13,1/'INPUT_CP1'!E13)</f>
      </c>
      <c r="G7">
        <f>IF('INPUT_CP1'!D14="A",'INPUT_CP1'!E14,1/'INPUT_CP1'!E14)</f>
      </c>
      <c r="H7">
        <f>IF('INPUT_CP1'!D15="A",'INPUT_CP1'!E15,1/'INPUT_CP1'!E15)</f>
      </c>
    </row>
    <row r="8">
      <c r="A8" t="str">
        <v>F3</v>
      </c>
      <c r="B8">
        <f>1/D6</f>
      </c>
      <c r="C8">
        <f>1/D7</f>
      </c>
      <c r="D8">
        <v>1</v>
      </c>
      <c r="E8">
        <f>IF('INPUT_CP1'!D16="A",'INPUT_CP1'!E16,1/'INPUT_CP1'!E16)</f>
      </c>
      <c r="F8">
        <f>IF('INPUT_CP1'!D17="A",'INPUT_CP1'!E17,1/'INPUT_CP1'!E17)</f>
      </c>
      <c r="G8">
        <f>IF('INPUT_CP1'!D18="A",'INPUT_CP1'!E18,1/'INPUT_CP1'!E18)</f>
      </c>
      <c r="H8">
        <f>IF('INPUT_CP1'!D19="A",'INPUT_CP1'!E19,1/'INPUT_CP1'!E19)</f>
      </c>
    </row>
    <row r="9">
      <c r="A9" t="str">
        <v>F4</v>
      </c>
      <c r="B9">
        <f>1/E6</f>
      </c>
      <c r="C9">
        <f>1/E7</f>
      </c>
      <c r="D9">
        <f>1/E8</f>
      </c>
      <c r="E9">
        <v>1</v>
      </c>
      <c r="F9">
        <f>IF('INPUT_CP1'!D20="A",'INPUT_CP1'!E20,1/'INPUT_CP1'!E20)</f>
      </c>
      <c r="G9">
        <f>IF('INPUT_CP1'!D21="A",'INPUT_CP1'!E21,1/'INPUT_CP1'!E21)</f>
      </c>
      <c r="H9">
        <f>IF('INPUT_CP1'!D22="A",'INPUT_CP1'!E22,1/'INPUT_CP1'!E22)</f>
      </c>
    </row>
    <row r="10">
      <c r="A10" t="str">
        <v>F5</v>
      </c>
      <c r="B10">
        <f>1/F6</f>
      </c>
      <c r="C10">
        <f>1/F7</f>
      </c>
      <c r="D10">
        <f>1/F8</f>
      </c>
      <c r="E10">
        <f>1/F9</f>
      </c>
      <c r="F10">
        <v>1</v>
      </c>
      <c r="G10">
        <f>IF('INPUT_CP1'!D23="A",'INPUT_CP1'!E23,1/'INPUT_CP1'!E23)</f>
      </c>
      <c r="H10">
        <f>IF('INPUT_CP1'!D24="A",'INPUT_CP1'!E24,1/'INPUT_CP1'!E24)</f>
      </c>
    </row>
    <row r="11">
      <c r="A11" t="str">
        <v>F6</v>
      </c>
      <c r="B11">
        <f>1/G6</f>
      </c>
      <c r="C11">
        <f>1/G7</f>
      </c>
      <c r="D11">
        <f>1/G8</f>
      </c>
      <c r="E11">
        <f>1/G9</f>
      </c>
      <c r="F11">
        <f>1/G10</f>
      </c>
      <c r="G11">
        <v>1</v>
      </c>
      <c r="H11">
        <f>IF('INPUT_CP1'!D25="A",'INPUT_CP1'!E25,1/'INPUT_CP1'!E25)</f>
      </c>
    </row>
    <row r="12">
      <c r="A12" t="str">
        <v>F7</v>
      </c>
      <c r="B12">
        <f>1/H6</f>
      </c>
      <c r="C12">
        <f>1/H7</f>
      </c>
      <c r="D12">
        <f>1/H8</f>
      </c>
      <c r="E12">
        <f>1/H9</f>
      </c>
      <c r="F12">
        <f>1/H10</f>
      </c>
      <c r="G12">
        <f>1/H11</f>
      </c>
      <c r="H12">
        <v>1</v>
      </c>
    </row>
    <row r="14">
      <c r="A14" t="str">
        <v>Jumlah Kolom</v>
      </c>
      <c r="B14">
        <f>SUM(B7:B13)</f>
      </c>
      <c r="C14">
        <f>SUM(C7:C13)</f>
      </c>
      <c r="D14">
        <f>SUM(D7:D13)</f>
      </c>
      <c r="E14">
        <f>SUM(E7:E13)</f>
      </c>
      <c r="F14">
        <f>SUM(F7:F13)</f>
      </c>
      <c r="G14">
        <f>SUM(G7:G13)</f>
      </c>
      <c r="H14">
        <f>SUM(H7:H13)</f>
      </c>
    </row>
  </sheetData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</cols>
  <sheetData>
    <row r="1">
      <c r="A1" t="str">
        <v>NORMALISASI &amp; BOBOT PRIORITAS — Level 2 — Sub-Kriteria CP1</v>
      </c>
    </row>
    <row r="2">
      <c r="A2" t="str">
        <v>Normalisasi kolom: setiap sel dibagi jumlah kolomnya</v>
      </c>
    </row>
    <row r="4">
      <c r="A4" t="str">
        <v/>
      </c>
      <c r="B4" t="str">
        <v>F1</v>
      </c>
      <c r="C4" t="str">
        <v>F2</v>
      </c>
      <c r="D4" t="str">
        <v>F3</v>
      </c>
      <c r="E4" t="str">
        <v>F4</v>
      </c>
      <c r="F4" t="str">
        <v>F5</v>
      </c>
      <c r="G4" t="str">
        <v>F6</v>
      </c>
      <c r="H4" t="str">
        <v>F7</v>
      </c>
      <c r="I4" t="str">
        <v>Rata-rata (Bobot)</v>
      </c>
    </row>
    <row r="5">
      <c r="A5" t="str">
        <v>F1</v>
      </c>
      <c r="B5">
        <f>'MATRIKS_CP1'!B6/'MATRIKS_CP1'!B14</f>
      </c>
      <c r="C5">
        <f>'MATRIKS_CP1'!C6/'MATRIKS_CP1'!C14</f>
      </c>
      <c r="D5">
        <f>'MATRIKS_CP1'!D6/'MATRIKS_CP1'!D14</f>
      </c>
      <c r="E5">
        <f>'MATRIKS_CP1'!E6/'MATRIKS_CP1'!E14</f>
      </c>
      <c r="F5">
        <f>'MATRIKS_CP1'!F6/'MATRIKS_CP1'!F14</f>
      </c>
      <c r="G5">
        <f>'MATRIKS_CP1'!G6/'MATRIKS_CP1'!G14</f>
      </c>
      <c r="H5">
        <f>'MATRIKS_CP1'!H6/'MATRIKS_CP1'!H14</f>
      </c>
      <c r="I5">
        <f>AVERAGE(B5:H5)</f>
      </c>
    </row>
    <row r="6">
      <c r="A6" t="str">
        <v>F2</v>
      </c>
      <c r="B6">
        <f>'MATRIKS_CP1'!B7/'MATRIKS_CP1'!B14</f>
      </c>
      <c r="C6">
        <f>'MATRIKS_CP1'!C7/'MATRIKS_CP1'!C14</f>
      </c>
      <c r="D6">
        <f>'MATRIKS_CP1'!D7/'MATRIKS_CP1'!D14</f>
      </c>
      <c r="E6">
        <f>'MATRIKS_CP1'!E7/'MATRIKS_CP1'!E14</f>
      </c>
      <c r="F6">
        <f>'MATRIKS_CP1'!F7/'MATRIKS_CP1'!F14</f>
      </c>
      <c r="G6">
        <f>'MATRIKS_CP1'!G7/'MATRIKS_CP1'!G14</f>
      </c>
      <c r="H6">
        <f>'MATRIKS_CP1'!H7/'MATRIKS_CP1'!H14</f>
      </c>
      <c r="I6">
        <f>AVERAGE(B6:H6)</f>
      </c>
    </row>
    <row r="7">
      <c r="A7" t="str">
        <v>F3</v>
      </c>
      <c r="B7">
        <f>'MATRIKS_CP1'!B8/'MATRIKS_CP1'!B14</f>
      </c>
      <c r="C7">
        <f>'MATRIKS_CP1'!C8/'MATRIKS_CP1'!C14</f>
      </c>
      <c r="D7">
        <f>'MATRIKS_CP1'!D8/'MATRIKS_CP1'!D14</f>
      </c>
      <c r="E7">
        <f>'MATRIKS_CP1'!E8/'MATRIKS_CP1'!E14</f>
      </c>
      <c r="F7">
        <f>'MATRIKS_CP1'!F8/'MATRIKS_CP1'!F14</f>
      </c>
      <c r="G7">
        <f>'MATRIKS_CP1'!G8/'MATRIKS_CP1'!G14</f>
      </c>
      <c r="H7">
        <f>'MATRIKS_CP1'!H8/'MATRIKS_CP1'!H14</f>
      </c>
      <c r="I7">
        <f>AVERAGE(B7:H7)</f>
      </c>
    </row>
    <row r="8">
      <c r="A8" t="str">
        <v>F4</v>
      </c>
      <c r="B8">
        <f>'MATRIKS_CP1'!B9/'MATRIKS_CP1'!B14</f>
      </c>
      <c r="C8">
        <f>'MATRIKS_CP1'!C9/'MATRIKS_CP1'!C14</f>
      </c>
      <c r="D8">
        <f>'MATRIKS_CP1'!D9/'MATRIKS_CP1'!D14</f>
      </c>
      <c r="E8">
        <f>'MATRIKS_CP1'!E9/'MATRIKS_CP1'!E14</f>
      </c>
      <c r="F8">
        <f>'MATRIKS_CP1'!F9/'MATRIKS_CP1'!F14</f>
      </c>
      <c r="G8">
        <f>'MATRIKS_CP1'!G9/'MATRIKS_CP1'!G14</f>
      </c>
      <c r="H8">
        <f>'MATRIKS_CP1'!H9/'MATRIKS_CP1'!H14</f>
      </c>
      <c r="I8">
        <f>AVERAGE(B8:H8)</f>
      </c>
    </row>
    <row r="9">
      <c r="A9" t="str">
        <v>F5</v>
      </c>
      <c r="B9">
        <f>'MATRIKS_CP1'!B10/'MATRIKS_CP1'!B14</f>
      </c>
      <c r="C9">
        <f>'MATRIKS_CP1'!C10/'MATRIKS_CP1'!C14</f>
      </c>
      <c r="D9">
        <f>'MATRIKS_CP1'!D10/'MATRIKS_CP1'!D14</f>
      </c>
      <c r="E9">
        <f>'MATRIKS_CP1'!E10/'MATRIKS_CP1'!E14</f>
      </c>
      <c r="F9">
        <f>'MATRIKS_CP1'!F10/'MATRIKS_CP1'!F14</f>
      </c>
      <c r="G9">
        <f>'MATRIKS_CP1'!G10/'MATRIKS_CP1'!G14</f>
      </c>
      <c r="H9">
        <f>'MATRIKS_CP1'!H10/'MATRIKS_CP1'!H14</f>
      </c>
      <c r="I9">
        <f>AVERAGE(B9:H9)</f>
      </c>
    </row>
    <row r="10">
      <c r="A10" t="str">
        <v>F6</v>
      </c>
      <c r="B10">
        <f>'MATRIKS_CP1'!B11/'MATRIKS_CP1'!B14</f>
      </c>
      <c r="C10">
        <f>'MATRIKS_CP1'!C11/'MATRIKS_CP1'!C14</f>
      </c>
      <c r="D10">
        <f>'MATRIKS_CP1'!D11/'MATRIKS_CP1'!D14</f>
      </c>
      <c r="E10">
        <f>'MATRIKS_CP1'!E11/'MATRIKS_CP1'!E14</f>
      </c>
      <c r="F10">
        <f>'MATRIKS_CP1'!F11/'MATRIKS_CP1'!F14</f>
      </c>
      <c r="G10">
        <f>'MATRIKS_CP1'!G11/'MATRIKS_CP1'!G14</f>
      </c>
      <c r="H10">
        <f>'MATRIKS_CP1'!H11/'MATRIKS_CP1'!H14</f>
      </c>
      <c r="I10">
        <f>AVERAGE(B10:H10)</f>
      </c>
    </row>
    <row r="11">
      <c r="A11" t="str">
        <v>F7</v>
      </c>
      <c r="B11">
        <f>'MATRIKS_CP1'!B12/'MATRIKS_CP1'!B14</f>
      </c>
      <c r="C11">
        <f>'MATRIKS_CP1'!C12/'MATRIKS_CP1'!C14</f>
      </c>
      <c r="D11">
        <f>'MATRIKS_CP1'!D12/'MATRIKS_CP1'!D14</f>
      </c>
      <c r="E11">
        <f>'MATRIKS_CP1'!E12/'MATRIKS_CP1'!E14</f>
      </c>
      <c r="F11">
        <f>'MATRIKS_CP1'!F12/'MATRIKS_CP1'!F14</f>
      </c>
      <c r="G11">
        <f>'MATRIKS_CP1'!G12/'MATRIKS_CP1'!G14</f>
      </c>
      <c r="H11">
        <f>'MATRIKS_CP1'!H12/'MATRIKS_CP1'!H14</f>
      </c>
      <c r="I11">
        <f>AVERAGE(B11:H11)</f>
      </c>
    </row>
    <row r="13">
      <c r="H13" t="str">
        <v>Total</v>
      </c>
      <c r="I13">
        <f>SUM(I5:I11)</f>
      </c>
    </row>
  </sheetData>
  <ignoredErrors>
    <ignoredError numberStoredAsText="1" sqref="A1:J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CP1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F1</v>
      </c>
      <c r="B6">
        <f>'NORM_CP1'!I5</f>
      </c>
      <c r="C6">
        <f>SUMPRODUCT('MATRIKS_CP1'!B6:'MATRIKS_CP1'!H6,$B6:$B12)</f>
      </c>
      <c r="D6">
        <f>C6/B6</f>
      </c>
    </row>
    <row r="7">
      <c r="A7" t="str">
        <v>F2</v>
      </c>
      <c r="B7">
        <f>'NORM_CP1'!I6</f>
      </c>
      <c r="C7">
        <f>SUMPRODUCT('MATRIKS_CP1'!B7:'MATRIKS_CP1'!H7,$B6:$B12)</f>
      </c>
      <c r="D7">
        <f>C7/B7</f>
      </c>
    </row>
    <row r="8">
      <c r="A8" t="str">
        <v>F3</v>
      </c>
      <c r="B8">
        <f>'NORM_CP1'!I7</f>
      </c>
      <c r="C8">
        <f>SUMPRODUCT('MATRIKS_CP1'!B8:'MATRIKS_CP1'!H8,$B6:$B12)</f>
      </c>
      <c r="D8">
        <f>C8/B8</f>
      </c>
    </row>
    <row r="9">
      <c r="A9" t="str">
        <v>F4</v>
      </c>
      <c r="B9">
        <f>'NORM_CP1'!I8</f>
      </c>
      <c r="C9">
        <f>SUMPRODUCT('MATRIKS_CP1'!B9:'MATRIKS_CP1'!H9,$B6:$B12)</f>
      </c>
      <c r="D9">
        <f>C9/B9</f>
      </c>
    </row>
    <row r="10">
      <c r="A10" t="str">
        <v>F5</v>
      </c>
      <c r="B10">
        <f>'NORM_CP1'!I9</f>
      </c>
      <c r="C10">
        <f>SUMPRODUCT('MATRIKS_CP1'!B10:'MATRIKS_CP1'!H10,$B6:$B12)</f>
      </c>
      <c r="D10">
        <f>C10/B10</f>
      </c>
    </row>
    <row r="11">
      <c r="A11" t="str">
        <v>F6</v>
      </c>
      <c r="B11">
        <f>'NORM_CP1'!I10</f>
      </c>
      <c r="C11">
        <f>SUMPRODUCT('MATRIKS_CP1'!B11:'MATRIKS_CP1'!H11,$B6:$B12)</f>
      </c>
      <c r="D11">
        <f>C11/B11</f>
      </c>
    </row>
    <row r="12">
      <c r="A12" t="str">
        <v>F7</v>
      </c>
      <c r="B12">
        <f>'NORM_CP1'!I11</f>
      </c>
      <c r="C12">
        <f>SUMPRODUCT('MATRIKS_CP1'!B12:'MATRIKS_CP1'!H12,$B6:$B12)</f>
      </c>
      <c r="D12">
        <f>C12/B12</f>
      </c>
    </row>
    <row r="15">
      <c r="A15" t="str">
        <v>LANGKAH 2: Perhitungan λmax, CI, CR</v>
      </c>
    </row>
    <row r="16">
      <c r="A16" t="str">
        <v>n (jumlah kriteria)</v>
      </c>
      <c r="B16">
        <v>7</v>
      </c>
    </row>
    <row r="17">
      <c r="A17" t="str">
        <v>λmax</v>
      </c>
      <c r="B17">
        <f>AVERAGE(D6:D12)</f>
      </c>
    </row>
    <row r="18">
      <c r="A18" t="str">
        <v>CI (Consistency Index)</v>
      </c>
      <c r="B18">
        <f>(B17-B16)/(B16-1)</f>
      </c>
    </row>
    <row r="19">
      <c r="A19" t="str">
        <v>RI (Random Index)</v>
      </c>
      <c r="B19">
        <v>1.32</v>
      </c>
    </row>
    <row r="20">
      <c r="A20" t="str">
        <v>CR (Consistency Ratio)</v>
      </c>
      <c r="B20">
        <f>B18/B19</f>
      </c>
    </row>
    <row r="22">
      <c r="A22" t="str">
        <v>KESIMPULAN</v>
      </c>
      <c r="B22">
        <f>IF(B20&lt;0.1,"KONSISTEN ✓ (CR &lt; 0.10)","TIDAK KONSISTEN ✗ (CR ≥ 0.10, perlu revisi)")</f>
      </c>
    </row>
    <row r="24">
      <c r="A24" t="str">
        <v>Catatan:</v>
      </c>
    </row>
    <row r="25">
      <c r="A25" t="str">
        <v>• CR &lt; 0.10 → Matriks dianggap konsisten</v>
      </c>
    </row>
    <row r="26">
      <c r="A26" t="str">
        <v>• CR ≥ 0.10 → Matriks TIDAK konsisten, perlu revisi penilaian</v>
      </c>
    </row>
    <row r="27">
      <c r="A27" t="str">
        <v>• λmax ideal ≈ n (jumlah kriteria)</v>
      </c>
    </row>
  </sheetData>
  <ignoredErrors>
    <ignoredError numberStoredAsText="1" sqref="A1:E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MATRIKS TFN FUZZY — Level 2 — Sub-Kriteria CP1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F1</v>
      </c>
      <c r="C19" t="str">
        <v>F2</v>
      </c>
      <c r="D19" t="str">
        <v>F3</v>
      </c>
      <c r="E19" t="str">
        <v>F4</v>
      </c>
      <c r="F19" t="str">
        <v>F5</v>
      </c>
      <c r="G19" t="str">
        <v>F6</v>
      </c>
      <c r="H19" t="str">
        <v>F7</v>
      </c>
    </row>
    <row r="20">
      <c r="A20" t="str">
        <v>F1</v>
      </c>
      <c r="B20">
        <v>1</v>
      </c>
      <c r="C20">
        <f>IF('INPUT_CP1'!D5="A",VLOOKUP('INPUT_CP1'!E5,$A$7:$D$15,2,FALSE),1/VLOOKUP('INPUT_CP1'!E5,$A$7:$D$15,4,FALSE))</f>
      </c>
      <c r="D20">
        <f>IF('INPUT_CP1'!D6="A",VLOOKUP('INPUT_CP1'!E6,$A$7:$D$15,2,FALSE),1/VLOOKUP('INPUT_CP1'!E6,$A$7:$D$15,4,FALSE))</f>
      </c>
      <c r="E20">
        <f>IF('INPUT_CP1'!D7="A",VLOOKUP('INPUT_CP1'!E7,$A$7:$D$15,2,FALSE),1/VLOOKUP('INPUT_CP1'!E7,$A$7:$D$15,4,FALSE))</f>
      </c>
      <c r="F20">
        <f>IF('INPUT_CP1'!D8="A",VLOOKUP('INPUT_CP1'!E8,$A$7:$D$15,2,FALSE),1/VLOOKUP('INPUT_CP1'!E8,$A$7:$D$15,4,FALSE))</f>
      </c>
      <c r="G20">
        <f>IF('INPUT_CP1'!D9="A",VLOOKUP('INPUT_CP1'!E9,$A$7:$D$15,2,FALSE),1/VLOOKUP('INPUT_CP1'!E9,$A$7:$D$15,4,FALSE))</f>
      </c>
      <c r="H20">
        <f>IF('INPUT_CP1'!D10="A",VLOOKUP('INPUT_CP1'!E10,$A$7:$D$15,2,FALSE),1/VLOOKUP('INPUT_CP1'!E10,$A$7:$D$15,4,FALSE))</f>
      </c>
      <c r="I20" t="str">
        <v>Σ Baris</v>
      </c>
    </row>
    <row r="21">
      <c r="A21" t="str">
        <v>F2</v>
      </c>
      <c r="B21">
        <f>IF('INPUT_CP1'!D5="A",1/VLOOKUP('INPUT_CP1'!E5,$A$7:$D$15,4,FALSE),VLOOKUP('INPUT_CP1'!E5,$A$7:$D$15,2,FALSE))</f>
      </c>
      <c r="C21">
        <v>1</v>
      </c>
      <c r="D21">
        <f>IF('INPUT_CP1'!D11="A",VLOOKUP('INPUT_CP1'!E11,$A$7:$D$15,2,FALSE),1/VLOOKUP('INPUT_CP1'!E11,$A$7:$D$15,4,FALSE))</f>
      </c>
      <c r="E21">
        <f>IF('INPUT_CP1'!D12="A",VLOOKUP('INPUT_CP1'!E12,$A$7:$D$15,2,FALSE),1/VLOOKUP('INPUT_CP1'!E12,$A$7:$D$15,4,FALSE))</f>
      </c>
      <c r="F21">
        <f>IF('INPUT_CP1'!D13="A",VLOOKUP('INPUT_CP1'!E13,$A$7:$D$15,2,FALSE),1/VLOOKUP('INPUT_CP1'!E13,$A$7:$D$15,4,FALSE))</f>
      </c>
      <c r="G21">
        <f>IF('INPUT_CP1'!D14="A",VLOOKUP('INPUT_CP1'!E14,$A$7:$D$15,2,FALSE),1/VLOOKUP('INPUT_CP1'!E14,$A$7:$D$15,4,FALSE))</f>
      </c>
      <c r="H21">
        <f>IF('INPUT_CP1'!D15="A",VLOOKUP('INPUT_CP1'!E15,$A$7:$D$15,2,FALSE),1/VLOOKUP('INPUT_CP1'!E15,$A$7:$D$15,4,FALSE))</f>
      </c>
      <c r="I21">
        <f>SUM(B21:H21)</f>
      </c>
    </row>
    <row r="22">
      <c r="A22" t="str">
        <v>F3</v>
      </c>
      <c r="B22">
        <f>IF('INPUT_CP1'!D6="A",1/VLOOKUP('INPUT_CP1'!E6,$A$7:$D$15,4,FALSE),VLOOKUP('INPUT_CP1'!E6,$A$7:$D$15,2,FALSE))</f>
      </c>
      <c r="C22">
        <f>IF('INPUT_CP1'!D11="A",1/VLOOKUP('INPUT_CP1'!E11,$A$7:$D$15,4,FALSE),VLOOKUP('INPUT_CP1'!E11,$A$7:$D$15,2,FALSE))</f>
      </c>
      <c r="D22">
        <v>1</v>
      </c>
      <c r="E22">
        <f>IF('INPUT_CP1'!D16="A",VLOOKUP('INPUT_CP1'!E16,$A$7:$D$15,2,FALSE),1/VLOOKUP('INPUT_CP1'!E16,$A$7:$D$15,4,FALSE))</f>
      </c>
      <c r="F22">
        <f>IF('INPUT_CP1'!D17="A",VLOOKUP('INPUT_CP1'!E17,$A$7:$D$15,2,FALSE),1/VLOOKUP('INPUT_CP1'!E17,$A$7:$D$15,4,FALSE))</f>
      </c>
      <c r="G22">
        <f>IF('INPUT_CP1'!D18="A",VLOOKUP('INPUT_CP1'!E18,$A$7:$D$15,2,FALSE),1/VLOOKUP('INPUT_CP1'!E18,$A$7:$D$15,4,FALSE))</f>
      </c>
      <c r="H22">
        <f>IF('INPUT_CP1'!D19="A",VLOOKUP('INPUT_CP1'!E19,$A$7:$D$15,2,FALSE),1/VLOOKUP('INPUT_CP1'!E19,$A$7:$D$15,4,FALSE))</f>
      </c>
      <c r="I22">
        <f>SUM(B22:H22)</f>
      </c>
    </row>
    <row r="23">
      <c r="A23" t="str">
        <v>F4</v>
      </c>
      <c r="B23">
        <f>IF('INPUT_CP1'!D7="A",1/VLOOKUP('INPUT_CP1'!E7,$A$7:$D$15,4,FALSE),VLOOKUP('INPUT_CP1'!E7,$A$7:$D$15,2,FALSE))</f>
      </c>
      <c r="C23">
        <f>IF('INPUT_CP1'!D12="A",1/VLOOKUP('INPUT_CP1'!E12,$A$7:$D$15,4,FALSE),VLOOKUP('INPUT_CP1'!E12,$A$7:$D$15,2,FALSE))</f>
      </c>
      <c r="D23">
        <f>IF('INPUT_CP1'!D16="A",1/VLOOKUP('INPUT_CP1'!E16,$A$7:$D$15,4,FALSE),VLOOKUP('INPUT_CP1'!E16,$A$7:$D$15,2,FALSE))</f>
      </c>
      <c r="E23">
        <v>1</v>
      </c>
      <c r="F23">
        <f>IF('INPUT_CP1'!D20="A",VLOOKUP('INPUT_CP1'!E20,$A$7:$D$15,2,FALSE),1/VLOOKUP('INPUT_CP1'!E20,$A$7:$D$15,4,FALSE))</f>
      </c>
      <c r="G23">
        <f>IF('INPUT_CP1'!D21="A",VLOOKUP('INPUT_CP1'!E21,$A$7:$D$15,2,FALSE),1/VLOOKUP('INPUT_CP1'!E21,$A$7:$D$15,4,FALSE))</f>
      </c>
      <c r="H23">
        <f>IF('INPUT_CP1'!D22="A",VLOOKUP('INPUT_CP1'!E22,$A$7:$D$15,2,FALSE),1/VLOOKUP('INPUT_CP1'!E22,$A$7:$D$15,4,FALSE))</f>
      </c>
      <c r="I23">
        <f>SUM(B23:H23)</f>
      </c>
    </row>
    <row r="24">
      <c r="A24" t="str">
        <v>F5</v>
      </c>
      <c r="B24">
        <f>IF('INPUT_CP1'!D8="A",1/VLOOKUP('INPUT_CP1'!E8,$A$7:$D$15,4,FALSE),VLOOKUP('INPUT_CP1'!E8,$A$7:$D$15,2,FALSE))</f>
      </c>
      <c r="C24">
        <f>IF('INPUT_CP1'!D13="A",1/VLOOKUP('INPUT_CP1'!E13,$A$7:$D$15,4,FALSE),VLOOKUP('INPUT_CP1'!E13,$A$7:$D$15,2,FALSE))</f>
      </c>
      <c r="D24">
        <f>IF('INPUT_CP1'!D17="A",1/VLOOKUP('INPUT_CP1'!E17,$A$7:$D$15,4,FALSE),VLOOKUP('INPUT_CP1'!E17,$A$7:$D$15,2,FALSE))</f>
      </c>
      <c r="E24">
        <f>IF('INPUT_CP1'!D20="A",1/VLOOKUP('INPUT_CP1'!E20,$A$7:$D$15,4,FALSE),VLOOKUP('INPUT_CP1'!E20,$A$7:$D$15,2,FALSE))</f>
      </c>
      <c r="F24">
        <v>1</v>
      </c>
      <c r="G24">
        <f>IF('INPUT_CP1'!D23="A",VLOOKUP('INPUT_CP1'!E23,$A$7:$D$15,2,FALSE),1/VLOOKUP('INPUT_CP1'!E23,$A$7:$D$15,4,FALSE))</f>
      </c>
      <c r="H24">
        <f>IF('INPUT_CP1'!D24="A",VLOOKUP('INPUT_CP1'!E24,$A$7:$D$15,2,FALSE),1/VLOOKUP('INPUT_CP1'!E24,$A$7:$D$15,4,FALSE))</f>
      </c>
      <c r="I24">
        <f>SUM(B24:H24)</f>
      </c>
    </row>
    <row r="25">
      <c r="A25" t="str">
        <v>F6</v>
      </c>
      <c r="B25">
        <f>IF('INPUT_CP1'!D9="A",1/VLOOKUP('INPUT_CP1'!E9,$A$7:$D$15,4,FALSE),VLOOKUP('INPUT_CP1'!E9,$A$7:$D$15,2,FALSE))</f>
      </c>
      <c r="C25">
        <f>IF('INPUT_CP1'!D14="A",1/VLOOKUP('INPUT_CP1'!E14,$A$7:$D$15,4,FALSE),VLOOKUP('INPUT_CP1'!E14,$A$7:$D$15,2,FALSE))</f>
      </c>
      <c r="D25">
        <f>IF('INPUT_CP1'!D18="A",1/VLOOKUP('INPUT_CP1'!E18,$A$7:$D$15,4,FALSE),VLOOKUP('INPUT_CP1'!E18,$A$7:$D$15,2,FALSE))</f>
      </c>
      <c r="E25">
        <f>IF('INPUT_CP1'!D21="A",1/VLOOKUP('INPUT_CP1'!E21,$A$7:$D$15,4,FALSE),VLOOKUP('INPUT_CP1'!E21,$A$7:$D$15,2,FALSE))</f>
      </c>
      <c r="F25">
        <f>IF('INPUT_CP1'!D23="A",1/VLOOKUP('INPUT_CP1'!E23,$A$7:$D$15,4,FALSE),VLOOKUP('INPUT_CP1'!E23,$A$7:$D$15,2,FALSE))</f>
      </c>
      <c r="G25">
        <v>1</v>
      </c>
      <c r="H25">
        <f>IF('INPUT_CP1'!D25="A",VLOOKUP('INPUT_CP1'!E25,$A$7:$D$15,2,FALSE),1/VLOOKUP('INPUT_CP1'!E25,$A$7:$D$15,4,FALSE))</f>
      </c>
      <c r="I25">
        <f>SUM(B25:H25)</f>
      </c>
    </row>
    <row r="26">
      <c r="A26" t="str">
        <v>F7</v>
      </c>
      <c r="B26">
        <f>IF('INPUT_CP1'!D10="A",1/VLOOKUP('INPUT_CP1'!E10,$A$7:$D$15,4,FALSE),VLOOKUP('INPUT_CP1'!E10,$A$7:$D$15,2,FALSE))</f>
      </c>
      <c r="C26">
        <f>IF('INPUT_CP1'!D15="A",1/VLOOKUP('INPUT_CP1'!E15,$A$7:$D$15,4,FALSE),VLOOKUP('INPUT_CP1'!E15,$A$7:$D$15,2,FALSE))</f>
      </c>
      <c r="D26">
        <f>IF('INPUT_CP1'!D19="A",1/VLOOKUP('INPUT_CP1'!E19,$A$7:$D$15,4,FALSE),VLOOKUP('INPUT_CP1'!E19,$A$7:$D$15,2,FALSE))</f>
      </c>
      <c r="E26">
        <f>IF('INPUT_CP1'!D22="A",1/VLOOKUP('INPUT_CP1'!E22,$A$7:$D$15,4,FALSE),VLOOKUP('INPUT_CP1'!E22,$A$7:$D$15,2,FALSE))</f>
      </c>
      <c r="F26">
        <f>IF('INPUT_CP1'!D24="A",1/VLOOKUP('INPUT_CP1'!E24,$A$7:$D$15,4,FALSE),VLOOKUP('INPUT_CP1'!E24,$A$7:$D$15,2,FALSE))</f>
      </c>
      <c r="G26">
        <f>IF('INPUT_CP1'!D25="A",1/VLOOKUP('INPUT_CP1'!E25,$A$7:$D$15,4,FALSE),VLOOKUP('INPUT_CP1'!E25,$A$7:$D$15,2,FALSE))</f>
      </c>
      <c r="H26">
        <v>1</v>
      </c>
      <c r="I26">
        <f>SUM(B26:H26)</f>
      </c>
    </row>
    <row r="27">
      <c r="I27">
        <f>SUM(B27:H27)</f>
      </c>
    </row>
    <row r="28">
      <c r="A28" t="str">
        <v>TOTAL</v>
      </c>
      <c r="I28">
        <f>SUM(I21:I27)</f>
      </c>
    </row>
    <row r="29">
      <c r="I29">
        <f>SUM(B22:H22)</f>
      </c>
    </row>
    <row r="30">
      <c r="I30">
        <f>SUM(B23:H23)</f>
      </c>
    </row>
    <row r="31">
      <c r="A31" t="str">
        <v>MATRIKS TFN — Komponen m (Middle)</v>
      </c>
      <c r="I31">
        <f>SUM(B24:H24)</f>
      </c>
    </row>
    <row r="32">
      <c r="A32" t="str">
        <v/>
      </c>
      <c r="B32" t="str">
        <v>F1</v>
      </c>
      <c r="C32" t="str">
        <v>F2</v>
      </c>
      <c r="D32" t="str">
        <v>F3</v>
      </c>
      <c r="E32" t="str">
        <v>F4</v>
      </c>
      <c r="F32" t="str">
        <v>F5</v>
      </c>
      <c r="G32" t="str">
        <v>F6</v>
      </c>
      <c r="H32" t="str">
        <v>F7</v>
      </c>
      <c r="I32" t="str">
        <v>Σ Baris</v>
      </c>
    </row>
    <row r="33">
      <c r="A33" t="str">
        <v>F1</v>
      </c>
      <c r="B33">
        <v>1</v>
      </c>
      <c r="C33">
        <f>IF('INPUT_CP1'!D5="A",VLOOKUP('INPUT_CP1'!E5,$A$7:$D$15,3,FALSE),1/VLOOKUP('INPUT_CP1'!E5,$A$7:$D$15,3,FALSE))</f>
      </c>
      <c r="D33">
        <f>IF('INPUT_CP1'!D6="A",VLOOKUP('INPUT_CP1'!E6,$A$7:$D$15,3,FALSE),1/VLOOKUP('INPUT_CP1'!E6,$A$7:$D$15,3,FALSE))</f>
      </c>
      <c r="E33">
        <f>IF('INPUT_CP1'!D7="A",VLOOKUP('INPUT_CP1'!E7,$A$7:$D$15,3,FALSE),1/VLOOKUP('INPUT_CP1'!E7,$A$7:$D$15,3,FALSE))</f>
      </c>
      <c r="F33">
        <f>IF('INPUT_CP1'!D8="A",VLOOKUP('INPUT_CP1'!E8,$A$7:$D$15,3,FALSE),1/VLOOKUP('INPUT_CP1'!E8,$A$7:$D$15,3,FALSE))</f>
      </c>
      <c r="G33">
        <f>IF('INPUT_CP1'!D9="A",VLOOKUP('INPUT_CP1'!E9,$A$7:$D$15,3,FALSE),1/VLOOKUP('INPUT_CP1'!E9,$A$7:$D$15,3,FALSE))</f>
      </c>
      <c r="H33">
        <f>IF('INPUT_CP1'!D10="A",VLOOKUP('INPUT_CP1'!E10,$A$7:$D$15,3,FALSE),1/VLOOKUP('INPUT_CP1'!E10,$A$7:$D$15,3,FALSE))</f>
      </c>
      <c r="I33">
        <f>SUM(B33:H33)</f>
      </c>
    </row>
    <row r="34">
      <c r="A34" t="str">
        <v>F2</v>
      </c>
      <c r="B34">
        <f>IF('INPUT_CP1'!D5="A",1/VLOOKUP('INPUT_CP1'!E5,$A$7:$D$15,3,FALSE),VLOOKUP('INPUT_CP1'!E5,$A$7:$D$15,3,FALSE))</f>
      </c>
      <c r="C34">
        <v>1</v>
      </c>
      <c r="D34">
        <f>IF('INPUT_CP1'!D11="A",VLOOKUP('INPUT_CP1'!E11,$A$7:$D$15,3,FALSE),1/VLOOKUP('INPUT_CP1'!E11,$A$7:$D$15,3,FALSE))</f>
      </c>
      <c r="E34">
        <f>IF('INPUT_CP1'!D12="A",VLOOKUP('INPUT_CP1'!E12,$A$7:$D$15,3,FALSE),1/VLOOKUP('INPUT_CP1'!E12,$A$7:$D$15,3,FALSE))</f>
      </c>
      <c r="F34">
        <f>IF('INPUT_CP1'!D13="A",VLOOKUP('INPUT_CP1'!E13,$A$7:$D$15,3,FALSE),1/VLOOKUP('INPUT_CP1'!E13,$A$7:$D$15,3,FALSE))</f>
      </c>
      <c r="G34">
        <f>IF('INPUT_CP1'!D14="A",VLOOKUP('INPUT_CP1'!E14,$A$7:$D$15,3,FALSE),1/VLOOKUP('INPUT_CP1'!E14,$A$7:$D$15,3,FALSE))</f>
      </c>
      <c r="H34">
        <f>IF('INPUT_CP1'!D15="A",VLOOKUP('INPUT_CP1'!E15,$A$7:$D$15,3,FALSE),1/VLOOKUP('INPUT_CP1'!E15,$A$7:$D$15,3,FALSE))</f>
      </c>
      <c r="I34">
        <f>SUM(B34:H34)</f>
      </c>
    </row>
    <row r="35">
      <c r="A35" t="str">
        <v>F3</v>
      </c>
      <c r="B35">
        <f>IF('INPUT_CP1'!D6="A",1/VLOOKUP('INPUT_CP1'!E6,$A$7:$D$15,3,FALSE),VLOOKUP('INPUT_CP1'!E6,$A$7:$D$15,3,FALSE))</f>
      </c>
      <c r="C35">
        <f>IF('INPUT_CP1'!D11="A",1/VLOOKUP('INPUT_CP1'!E11,$A$7:$D$15,3,FALSE),VLOOKUP('INPUT_CP1'!E11,$A$7:$D$15,3,FALSE))</f>
      </c>
      <c r="D35">
        <v>1</v>
      </c>
      <c r="E35">
        <f>IF('INPUT_CP1'!D16="A",VLOOKUP('INPUT_CP1'!E16,$A$7:$D$15,3,FALSE),1/VLOOKUP('INPUT_CP1'!E16,$A$7:$D$15,3,FALSE))</f>
      </c>
      <c r="F35">
        <f>IF('INPUT_CP1'!D17="A",VLOOKUP('INPUT_CP1'!E17,$A$7:$D$15,3,FALSE),1/VLOOKUP('INPUT_CP1'!E17,$A$7:$D$15,3,FALSE))</f>
      </c>
      <c r="G35">
        <f>IF('INPUT_CP1'!D18="A",VLOOKUP('INPUT_CP1'!E18,$A$7:$D$15,3,FALSE),1/VLOOKUP('INPUT_CP1'!E18,$A$7:$D$15,3,FALSE))</f>
      </c>
      <c r="H35">
        <f>IF('INPUT_CP1'!D19="A",VLOOKUP('INPUT_CP1'!E19,$A$7:$D$15,3,FALSE),1/VLOOKUP('INPUT_CP1'!E19,$A$7:$D$15,3,FALSE))</f>
      </c>
      <c r="I35">
        <f>SUM(B35:H35)</f>
      </c>
    </row>
    <row r="36">
      <c r="A36" t="str">
        <v>F4</v>
      </c>
      <c r="B36">
        <f>IF('INPUT_CP1'!D7="A",1/VLOOKUP('INPUT_CP1'!E7,$A$7:$D$15,3,FALSE),VLOOKUP('INPUT_CP1'!E7,$A$7:$D$15,3,FALSE))</f>
      </c>
      <c r="C36">
        <f>IF('INPUT_CP1'!D12="A",1/VLOOKUP('INPUT_CP1'!E12,$A$7:$D$15,3,FALSE),VLOOKUP('INPUT_CP1'!E12,$A$7:$D$15,3,FALSE))</f>
      </c>
      <c r="D36">
        <f>IF('INPUT_CP1'!D16="A",1/VLOOKUP('INPUT_CP1'!E16,$A$7:$D$15,3,FALSE),VLOOKUP('INPUT_CP1'!E16,$A$7:$D$15,3,FALSE))</f>
      </c>
      <c r="E36">
        <v>1</v>
      </c>
      <c r="F36">
        <f>IF('INPUT_CP1'!D20="A",VLOOKUP('INPUT_CP1'!E20,$A$7:$D$15,3,FALSE),1/VLOOKUP('INPUT_CP1'!E20,$A$7:$D$15,3,FALSE))</f>
      </c>
      <c r="G36">
        <f>IF('INPUT_CP1'!D21="A",VLOOKUP('INPUT_CP1'!E21,$A$7:$D$15,3,FALSE),1/VLOOKUP('INPUT_CP1'!E21,$A$7:$D$15,3,FALSE))</f>
      </c>
      <c r="H36">
        <f>IF('INPUT_CP1'!D22="A",VLOOKUP('INPUT_CP1'!E22,$A$7:$D$15,3,FALSE),1/VLOOKUP('INPUT_CP1'!E22,$A$7:$D$15,3,FALSE))</f>
      </c>
      <c r="I36">
        <f>SUM(B36:H36)</f>
      </c>
    </row>
    <row r="37">
      <c r="A37" t="str">
        <v>F5</v>
      </c>
      <c r="B37">
        <f>IF('INPUT_CP1'!D8="A",1/VLOOKUP('INPUT_CP1'!E8,$A$7:$D$15,3,FALSE),VLOOKUP('INPUT_CP1'!E8,$A$7:$D$15,3,FALSE))</f>
      </c>
      <c r="C37">
        <f>IF('INPUT_CP1'!D13="A",1/VLOOKUP('INPUT_CP1'!E13,$A$7:$D$15,3,FALSE),VLOOKUP('INPUT_CP1'!E13,$A$7:$D$15,3,FALSE))</f>
      </c>
      <c r="D37">
        <f>IF('INPUT_CP1'!D17="A",1/VLOOKUP('INPUT_CP1'!E17,$A$7:$D$15,3,FALSE),VLOOKUP('INPUT_CP1'!E17,$A$7:$D$15,3,FALSE))</f>
      </c>
      <c r="E37">
        <f>IF('INPUT_CP1'!D20="A",1/VLOOKUP('INPUT_CP1'!E20,$A$7:$D$15,3,FALSE),VLOOKUP('INPUT_CP1'!E20,$A$7:$D$15,3,FALSE))</f>
      </c>
      <c r="F37">
        <v>1</v>
      </c>
      <c r="G37">
        <f>IF('INPUT_CP1'!D23="A",VLOOKUP('INPUT_CP1'!E23,$A$7:$D$15,3,FALSE),1/VLOOKUP('INPUT_CP1'!E23,$A$7:$D$15,3,FALSE))</f>
      </c>
      <c r="H37">
        <f>IF('INPUT_CP1'!D24="A",VLOOKUP('INPUT_CP1'!E24,$A$7:$D$15,3,FALSE),1/VLOOKUP('INPUT_CP1'!E24,$A$7:$D$15,3,FALSE))</f>
      </c>
      <c r="I37">
        <f>SUM(B37:H37)</f>
      </c>
    </row>
    <row r="38">
      <c r="A38" t="str">
        <v>F6</v>
      </c>
      <c r="B38">
        <f>IF('INPUT_CP1'!D9="A",1/VLOOKUP('INPUT_CP1'!E9,$A$7:$D$15,3,FALSE),VLOOKUP('INPUT_CP1'!E9,$A$7:$D$15,3,FALSE))</f>
      </c>
      <c r="C38">
        <f>IF('INPUT_CP1'!D14="A",1/VLOOKUP('INPUT_CP1'!E14,$A$7:$D$15,3,FALSE),VLOOKUP('INPUT_CP1'!E14,$A$7:$D$15,3,FALSE))</f>
      </c>
      <c r="D38">
        <f>IF('INPUT_CP1'!D18="A",1/VLOOKUP('INPUT_CP1'!E18,$A$7:$D$15,3,FALSE),VLOOKUP('INPUT_CP1'!E18,$A$7:$D$15,3,FALSE))</f>
      </c>
      <c r="E38">
        <f>IF('INPUT_CP1'!D21="A",1/VLOOKUP('INPUT_CP1'!E21,$A$7:$D$15,3,FALSE),VLOOKUP('INPUT_CP1'!E21,$A$7:$D$15,3,FALSE))</f>
      </c>
      <c r="F38">
        <f>IF('INPUT_CP1'!D23="A",1/VLOOKUP('INPUT_CP1'!E23,$A$7:$D$15,3,FALSE),VLOOKUP('INPUT_CP1'!E23,$A$7:$D$15,3,FALSE))</f>
      </c>
      <c r="G38">
        <v>1</v>
      </c>
      <c r="H38">
        <f>IF('INPUT_CP1'!D25="A",VLOOKUP('INPUT_CP1'!E25,$A$7:$D$15,3,FALSE),1/VLOOKUP('INPUT_CP1'!E25,$A$7:$D$15,3,FALSE))</f>
      </c>
      <c r="I38">
        <f>SUM(B38:H38)</f>
      </c>
    </row>
    <row r="39">
      <c r="A39" t="str">
        <v>F7</v>
      </c>
      <c r="B39">
        <f>IF('INPUT_CP1'!D10="A",1/VLOOKUP('INPUT_CP1'!E10,$A$7:$D$15,3,FALSE),VLOOKUP('INPUT_CP1'!E10,$A$7:$D$15,3,FALSE))</f>
      </c>
      <c r="C39">
        <f>IF('INPUT_CP1'!D15="A",1/VLOOKUP('INPUT_CP1'!E15,$A$7:$D$15,3,FALSE),VLOOKUP('INPUT_CP1'!E15,$A$7:$D$15,3,FALSE))</f>
      </c>
      <c r="D39">
        <f>IF('INPUT_CP1'!D19="A",1/VLOOKUP('INPUT_CP1'!E19,$A$7:$D$15,3,FALSE),VLOOKUP('INPUT_CP1'!E19,$A$7:$D$15,3,FALSE))</f>
      </c>
      <c r="E39">
        <f>IF('INPUT_CP1'!D22="A",1/VLOOKUP('INPUT_CP1'!E22,$A$7:$D$15,3,FALSE),VLOOKUP('INPUT_CP1'!E22,$A$7:$D$15,3,FALSE))</f>
      </c>
      <c r="F39">
        <f>IF('INPUT_CP1'!D24="A",1/VLOOKUP('INPUT_CP1'!E24,$A$7:$D$15,3,FALSE),VLOOKUP('INPUT_CP1'!E24,$A$7:$D$15,3,FALSE))</f>
      </c>
      <c r="G39">
        <f>IF('INPUT_CP1'!D25="A",1/VLOOKUP('INPUT_CP1'!E25,$A$7:$D$15,3,FALSE),VLOOKUP('INPUT_CP1'!E25,$A$7:$D$15,3,FALSE))</f>
      </c>
      <c r="H39">
        <v>1</v>
      </c>
      <c r="I39">
        <f>SUM(B39:H39)</f>
      </c>
    </row>
    <row r="40">
      <c r="A40" t="str">
        <v>TOTAL</v>
      </c>
      <c r="I40">
        <f>SUM(I34:I40)</f>
      </c>
    </row>
    <row r="43">
      <c r="A43" t="str">
        <v>MATRIKS TFN — Komponen u (Upper)</v>
      </c>
    </row>
    <row r="44">
      <c r="A44" t="str">
        <v/>
      </c>
      <c r="B44" t="str">
        <v>F1</v>
      </c>
      <c r="C44" t="str">
        <v>F2</v>
      </c>
      <c r="D44" t="str">
        <v>F3</v>
      </c>
      <c r="E44" t="str">
        <v>F4</v>
      </c>
      <c r="F44" t="str">
        <v>F5</v>
      </c>
      <c r="G44" t="str">
        <v>F6</v>
      </c>
      <c r="H44" t="str">
        <v>F7</v>
      </c>
      <c r="I44" t="str">
        <v>Σ Baris</v>
      </c>
    </row>
    <row r="45">
      <c r="A45" t="str">
        <v>F1</v>
      </c>
      <c r="B45">
        <v>1</v>
      </c>
      <c r="C45">
        <f>IF('INPUT_CP1'!D5="A",VLOOKUP('INPUT_CP1'!E5,$A$7:$D$15,4,FALSE),1/VLOOKUP('INPUT_CP1'!E5,$A$7:$D$15,2,FALSE))</f>
      </c>
      <c r="D45">
        <f>IF('INPUT_CP1'!D6="A",VLOOKUP('INPUT_CP1'!E6,$A$7:$D$15,4,FALSE),1/VLOOKUP('INPUT_CP1'!E6,$A$7:$D$15,2,FALSE))</f>
      </c>
      <c r="E45">
        <f>IF('INPUT_CP1'!D7="A",VLOOKUP('INPUT_CP1'!E7,$A$7:$D$15,4,FALSE),1/VLOOKUP('INPUT_CP1'!E7,$A$7:$D$15,2,FALSE))</f>
      </c>
      <c r="F45">
        <f>IF('INPUT_CP1'!D8="A",VLOOKUP('INPUT_CP1'!E8,$A$7:$D$15,4,FALSE),1/VLOOKUP('INPUT_CP1'!E8,$A$7:$D$15,2,FALSE))</f>
      </c>
      <c r="G45">
        <f>IF('INPUT_CP1'!D9="A",VLOOKUP('INPUT_CP1'!E9,$A$7:$D$15,4,FALSE),1/VLOOKUP('INPUT_CP1'!E9,$A$7:$D$15,2,FALSE))</f>
      </c>
      <c r="H45">
        <f>IF('INPUT_CP1'!D10="A",VLOOKUP('INPUT_CP1'!E10,$A$7:$D$15,4,FALSE),1/VLOOKUP('INPUT_CP1'!E10,$A$7:$D$15,2,FALSE))</f>
      </c>
      <c r="I45">
        <f>SUM(B45:H45)</f>
      </c>
    </row>
    <row r="46">
      <c r="A46" t="str">
        <v>F2</v>
      </c>
      <c r="B46">
        <f>IF('INPUT_CP1'!D5="A",1/VLOOKUP('INPUT_CP1'!E5,$A$7:$D$15,2,FALSE),VLOOKUP('INPUT_CP1'!E5,$A$7:$D$15,4,FALSE))</f>
      </c>
      <c r="C46">
        <v>1</v>
      </c>
      <c r="D46">
        <f>IF('INPUT_CP1'!D11="A",VLOOKUP('INPUT_CP1'!E11,$A$7:$D$15,4,FALSE),1/VLOOKUP('INPUT_CP1'!E11,$A$7:$D$15,2,FALSE))</f>
      </c>
      <c r="E46">
        <f>IF('INPUT_CP1'!D12="A",VLOOKUP('INPUT_CP1'!E12,$A$7:$D$15,4,FALSE),1/VLOOKUP('INPUT_CP1'!E12,$A$7:$D$15,2,FALSE))</f>
      </c>
      <c r="F46">
        <f>IF('INPUT_CP1'!D13="A",VLOOKUP('INPUT_CP1'!E13,$A$7:$D$15,4,FALSE),1/VLOOKUP('INPUT_CP1'!E13,$A$7:$D$15,2,FALSE))</f>
      </c>
      <c r="G46">
        <f>IF('INPUT_CP1'!D14="A",VLOOKUP('INPUT_CP1'!E14,$A$7:$D$15,4,FALSE),1/VLOOKUP('INPUT_CP1'!E14,$A$7:$D$15,2,FALSE))</f>
      </c>
      <c r="H46">
        <f>IF('INPUT_CP1'!D15="A",VLOOKUP('INPUT_CP1'!E15,$A$7:$D$15,4,FALSE),1/VLOOKUP('INPUT_CP1'!E15,$A$7:$D$15,2,FALSE))</f>
      </c>
      <c r="I46">
        <f>SUM(B46:H46)</f>
      </c>
    </row>
    <row r="47">
      <c r="A47" t="str">
        <v>F3</v>
      </c>
      <c r="B47">
        <f>IF('INPUT_CP1'!D6="A",1/VLOOKUP('INPUT_CP1'!E6,$A$7:$D$15,2,FALSE),VLOOKUP('INPUT_CP1'!E6,$A$7:$D$15,4,FALSE))</f>
      </c>
      <c r="C47">
        <f>IF('INPUT_CP1'!D11="A",1/VLOOKUP('INPUT_CP1'!E11,$A$7:$D$15,2,FALSE),VLOOKUP('INPUT_CP1'!E11,$A$7:$D$15,4,FALSE))</f>
      </c>
      <c r="D47">
        <v>1</v>
      </c>
      <c r="E47">
        <f>IF('INPUT_CP1'!D16="A",VLOOKUP('INPUT_CP1'!E16,$A$7:$D$15,4,FALSE),1/VLOOKUP('INPUT_CP1'!E16,$A$7:$D$15,2,FALSE))</f>
      </c>
      <c r="F47">
        <f>IF('INPUT_CP1'!D17="A",VLOOKUP('INPUT_CP1'!E17,$A$7:$D$15,4,FALSE),1/VLOOKUP('INPUT_CP1'!E17,$A$7:$D$15,2,FALSE))</f>
      </c>
      <c r="G47">
        <f>IF('INPUT_CP1'!D18="A",VLOOKUP('INPUT_CP1'!E18,$A$7:$D$15,4,FALSE),1/VLOOKUP('INPUT_CP1'!E18,$A$7:$D$15,2,FALSE))</f>
      </c>
      <c r="H47">
        <f>IF('INPUT_CP1'!D19="A",VLOOKUP('INPUT_CP1'!E19,$A$7:$D$15,4,FALSE),1/VLOOKUP('INPUT_CP1'!E19,$A$7:$D$15,2,FALSE))</f>
      </c>
      <c r="I47">
        <f>SUM(B47:H47)</f>
      </c>
    </row>
    <row r="48">
      <c r="A48" t="str">
        <v>F4</v>
      </c>
      <c r="B48">
        <f>IF('INPUT_CP1'!D7="A",1/VLOOKUP('INPUT_CP1'!E7,$A$7:$D$15,2,FALSE),VLOOKUP('INPUT_CP1'!E7,$A$7:$D$15,4,FALSE))</f>
      </c>
      <c r="C48">
        <f>IF('INPUT_CP1'!D12="A",1/VLOOKUP('INPUT_CP1'!E12,$A$7:$D$15,2,FALSE),VLOOKUP('INPUT_CP1'!E12,$A$7:$D$15,4,FALSE))</f>
      </c>
      <c r="D48">
        <f>IF('INPUT_CP1'!D16="A",1/VLOOKUP('INPUT_CP1'!E16,$A$7:$D$15,2,FALSE),VLOOKUP('INPUT_CP1'!E16,$A$7:$D$15,4,FALSE))</f>
      </c>
      <c r="E48">
        <v>1</v>
      </c>
      <c r="F48">
        <f>IF('INPUT_CP1'!D20="A",VLOOKUP('INPUT_CP1'!E20,$A$7:$D$15,4,FALSE),1/VLOOKUP('INPUT_CP1'!E20,$A$7:$D$15,2,FALSE))</f>
      </c>
      <c r="G48">
        <f>IF('INPUT_CP1'!D21="A",VLOOKUP('INPUT_CP1'!E21,$A$7:$D$15,4,FALSE),1/VLOOKUP('INPUT_CP1'!E21,$A$7:$D$15,2,FALSE))</f>
      </c>
      <c r="H48">
        <f>IF('INPUT_CP1'!D22="A",VLOOKUP('INPUT_CP1'!E22,$A$7:$D$15,4,FALSE),1/VLOOKUP('INPUT_CP1'!E22,$A$7:$D$15,2,FALSE))</f>
      </c>
      <c r="I48">
        <f>SUM(B48:H48)</f>
      </c>
    </row>
    <row r="49">
      <c r="A49" t="str">
        <v>F5</v>
      </c>
      <c r="B49">
        <f>IF('INPUT_CP1'!D8="A",1/VLOOKUP('INPUT_CP1'!E8,$A$7:$D$15,2,FALSE),VLOOKUP('INPUT_CP1'!E8,$A$7:$D$15,4,FALSE))</f>
      </c>
      <c r="C49">
        <f>IF('INPUT_CP1'!D13="A",1/VLOOKUP('INPUT_CP1'!E13,$A$7:$D$15,2,FALSE),VLOOKUP('INPUT_CP1'!E13,$A$7:$D$15,4,FALSE))</f>
      </c>
      <c r="D49">
        <f>IF('INPUT_CP1'!D17="A",1/VLOOKUP('INPUT_CP1'!E17,$A$7:$D$15,2,FALSE),VLOOKUP('INPUT_CP1'!E17,$A$7:$D$15,4,FALSE))</f>
      </c>
      <c r="E49">
        <f>IF('INPUT_CP1'!D20="A",1/VLOOKUP('INPUT_CP1'!E20,$A$7:$D$15,2,FALSE),VLOOKUP('INPUT_CP1'!E20,$A$7:$D$15,4,FALSE))</f>
      </c>
      <c r="F49">
        <v>1</v>
      </c>
      <c r="G49">
        <f>IF('INPUT_CP1'!D23="A",VLOOKUP('INPUT_CP1'!E23,$A$7:$D$15,4,FALSE),1/VLOOKUP('INPUT_CP1'!E23,$A$7:$D$15,2,FALSE))</f>
      </c>
      <c r="H49">
        <f>IF('INPUT_CP1'!D24="A",VLOOKUP('INPUT_CP1'!E24,$A$7:$D$15,4,FALSE),1/VLOOKUP('INPUT_CP1'!E24,$A$7:$D$15,2,FALSE))</f>
      </c>
      <c r="I49">
        <f>SUM(B49:H49)</f>
      </c>
    </row>
    <row r="50">
      <c r="A50" t="str">
        <v>F6</v>
      </c>
      <c r="B50">
        <f>IF('INPUT_CP1'!D9="A",1/VLOOKUP('INPUT_CP1'!E9,$A$7:$D$15,2,FALSE),VLOOKUP('INPUT_CP1'!E9,$A$7:$D$15,4,FALSE))</f>
      </c>
      <c r="C50">
        <f>IF('INPUT_CP1'!D14="A",1/VLOOKUP('INPUT_CP1'!E14,$A$7:$D$15,2,FALSE),VLOOKUP('INPUT_CP1'!E14,$A$7:$D$15,4,FALSE))</f>
      </c>
      <c r="D50">
        <f>IF('INPUT_CP1'!D18="A",1/VLOOKUP('INPUT_CP1'!E18,$A$7:$D$15,2,FALSE),VLOOKUP('INPUT_CP1'!E18,$A$7:$D$15,4,FALSE))</f>
      </c>
      <c r="E50">
        <f>IF('INPUT_CP1'!D21="A",1/VLOOKUP('INPUT_CP1'!E21,$A$7:$D$15,2,FALSE),VLOOKUP('INPUT_CP1'!E21,$A$7:$D$15,4,FALSE))</f>
      </c>
      <c r="F50">
        <f>IF('INPUT_CP1'!D23="A",1/VLOOKUP('INPUT_CP1'!E23,$A$7:$D$15,2,FALSE),VLOOKUP('INPUT_CP1'!E23,$A$7:$D$15,4,FALSE))</f>
      </c>
      <c r="G50">
        <v>1</v>
      </c>
      <c r="H50">
        <f>IF('INPUT_CP1'!D25="A",VLOOKUP('INPUT_CP1'!E25,$A$7:$D$15,4,FALSE),1/VLOOKUP('INPUT_CP1'!E25,$A$7:$D$15,2,FALSE))</f>
      </c>
      <c r="I50">
        <f>SUM(B50:H50)</f>
      </c>
    </row>
    <row r="51">
      <c r="A51" t="str">
        <v>F7</v>
      </c>
      <c r="B51">
        <f>IF('INPUT_CP1'!D10="A",1/VLOOKUP('INPUT_CP1'!E10,$A$7:$D$15,2,FALSE),VLOOKUP('INPUT_CP1'!E10,$A$7:$D$15,4,FALSE))</f>
      </c>
      <c r="C51">
        <f>IF('INPUT_CP1'!D15="A",1/VLOOKUP('INPUT_CP1'!E15,$A$7:$D$15,2,FALSE),VLOOKUP('INPUT_CP1'!E15,$A$7:$D$15,4,FALSE))</f>
      </c>
      <c r="D51">
        <f>IF('INPUT_CP1'!D19="A",1/VLOOKUP('INPUT_CP1'!E19,$A$7:$D$15,2,FALSE),VLOOKUP('INPUT_CP1'!E19,$A$7:$D$15,4,FALSE))</f>
      </c>
      <c r="E51">
        <f>IF('INPUT_CP1'!D22="A",1/VLOOKUP('INPUT_CP1'!E22,$A$7:$D$15,2,FALSE),VLOOKUP('INPUT_CP1'!E22,$A$7:$D$15,4,FALSE))</f>
      </c>
      <c r="F51">
        <f>IF('INPUT_CP1'!D24="A",1/VLOOKUP('INPUT_CP1'!E24,$A$7:$D$15,2,FALSE),VLOOKUP('INPUT_CP1'!E24,$A$7:$D$15,4,FALSE))</f>
      </c>
      <c r="G51">
        <f>IF('INPUT_CP1'!D25="A",1/VLOOKUP('INPUT_CP1'!E25,$A$7:$D$15,2,FALSE),VLOOKUP('INPUT_CP1'!E25,$A$7:$D$15,4,FALSE))</f>
      </c>
      <c r="H51">
        <v>1</v>
      </c>
      <c r="I51">
        <f>SUM(B51:H51)</f>
      </c>
    </row>
    <row r="52">
      <c r="A52" t="str">
        <v>TOTAL</v>
      </c>
      <c r="I52">
        <f>SUM(I46:I52)</f>
      </c>
    </row>
  </sheetData>
  <ignoredErrors>
    <ignoredError numberStoredAsText="1" sqref="A1:K5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CP1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F1</v>
      </c>
      <c r="B7">
        <f>'FUZZY_CP1'!I21</f>
      </c>
      <c r="C7">
        <f>'FUZZY_CP1'!I34</f>
      </c>
      <c r="D7">
        <f>'FUZZY_CP1'!I46</f>
      </c>
      <c r="E7">
        <f>'FUZZY_CP1'!I28</f>
      </c>
      <c r="F7">
        <f>'FUZZY_CP1'!I40</f>
      </c>
      <c r="G7">
        <f>'FUZZY_CP1'!I52</f>
      </c>
      <c r="H7">
        <f>B7*(1/G7)</f>
      </c>
      <c r="I7">
        <f>C7*(1/F7)</f>
      </c>
      <c r="J7">
        <f>D7*(1/E7)</f>
      </c>
    </row>
    <row r="8">
      <c r="A8" t="str">
        <v>F2</v>
      </c>
      <c r="B8">
        <f>'FUZZY_CP1'!I22</f>
      </c>
      <c r="C8">
        <f>'FUZZY_CP1'!I35</f>
      </c>
      <c r="D8">
        <f>'FUZZY_CP1'!I47</f>
      </c>
      <c r="E8">
        <f>'FUZZY_CP1'!I28</f>
      </c>
      <c r="F8">
        <f>'FUZZY_CP1'!I40</f>
      </c>
      <c r="G8">
        <f>'FUZZY_CP1'!I52</f>
      </c>
      <c r="H8">
        <f>B8*(1/G8)</f>
      </c>
      <c r="I8">
        <f>C8*(1/F8)</f>
      </c>
      <c r="J8">
        <f>D8*(1/E8)</f>
      </c>
    </row>
    <row r="9">
      <c r="A9" t="str">
        <v>F3</v>
      </c>
      <c r="B9">
        <f>'FUZZY_CP1'!I23</f>
      </c>
      <c r="C9">
        <f>'FUZZY_CP1'!I36</f>
      </c>
      <c r="D9">
        <f>'FUZZY_CP1'!I48</f>
      </c>
      <c r="E9">
        <f>'FUZZY_CP1'!I28</f>
      </c>
      <c r="F9">
        <f>'FUZZY_CP1'!I40</f>
      </c>
      <c r="G9">
        <f>'FUZZY_CP1'!I52</f>
      </c>
      <c r="H9">
        <f>B9*(1/G9)</f>
      </c>
      <c r="I9">
        <f>C9*(1/F9)</f>
      </c>
      <c r="J9">
        <f>D9*(1/E9)</f>
      </c>
    </row>
    <row r="10">
      <c r="A10" t="str">
        <v>F4</v>
      </c>
      <c r="B10">
        <f>'FUZZY_CP1'!I24</f>
      </c>
      <c r="C10">
        <f>'FUZZY_CP1'!I37</f>
      </c>
      <c r="D10">
        <f>'FUZZY_CP1'!I49</f>
      </c>
      <c r="E10">
        <f>'FUZZY_CP1'!I28</f>
      </c>
      <c r="F10">
        <f>'FUZZY_CP1'!I40</f>
      </c>
      <c r="G10">
        <f>'FUZZY_CP1'!I52</f>
      </c>
      <c r="H10">
        <f>B10*(1/G10)</f>
      </c>
      <c r="I10">
        <f>C10*(1/F10)</f>
      </c>
      <c r="J10">
        <f>D10*(1/E10)</f>
      </c>
    </row>
    <row r="11">
      <c r="A11" t="str">
        <v>F5</v>
      </c>
      <c r="B11">
        <f>'FUZZY_CP1'!I25</f>
      </c>
      <c r="C11">
        <f>'FUZZY_CP1'!I38</f>
      </c>
      <c r="D11">
        <f>'FUZZY_CP1'!I50</f>
      </c>
      <c r="E11">
        <f>'FUZZY_CP1'!I28</f>
      </c>
      <c r="F11">
        <f>'FUZZY_CP1'!I40</f>
      </c>
      <c r="G11">
        <f>'FUZZY_CP1'!I52</f>
      </c>
      <c r="H11">
        <f>B11*(1/G11)</f>
      </c>
      <c r="I11">
        <f>C11*(1/F11)</f>
      </c>
      <c r="J11">
        <f>D11*(1/E11)</f>
      </c>
    </row>
    <row r="12">
      <c r="A12" t="str">
        <v>F6</v>
      </c>
      <c r="B12">
        <f>'FUZZY_CP1'!I26</f>
      </c>
      <c r="C12">
        <f>'FUZZY_CP1'!I39</f>
      </c>
      <c r="D12">
        <f>'FUZZY_CP1'!I51</f>
      </c>
      <c r="E12">
        <f>'FUZZY_CP1'!I28</f>
      </c>
      <c r="F12">
        <f>'FUZZY_CP1'!I40</f>
      </c>
      <c r="G12">
        <f>'FUZZY_CP1'!I52</f>
      </c>
      <c r="H12">
        <f>B12*(1/G12)</f>
      </c>
      <c r="I12">
        <f>C12*(1/F12)</f>
      </c>
      <c r="J12">
        <f>D12*(1/E12)</f>
      </c>
    </row>
    <row r="13">
      <c r="A13" t="str">
        <v>F7</v>
      </c>
      <c r="B13">
        <f>'FUZZY_CP1'!I27</f>
      </c>
      <c r="C13">
        <f>'FUZZY_CP1'!I40</f>
      </c>
      <c r="D13">
        <f>'FUZZY_CP1'!I52</f>
      </c>
      <c r="E13">
        <f>'FUZZY_CP1'!I28</f>
      </c>
      <c r="F13">
        <f>'FUZZY_CP1'!I40</f>
      </c>
      <c r="G13">
        <f>'FUZZY_CP1'!I52</f>
      </c>
      <c r="H13">
        <f>B13*(1/G13)</f>
      </c>
      <c r="I13">
        <f>C13*(1/F13)</f>
      </c>
      <c r="J13">
        <f>D13*(1/E13)</f>
      </c>
    </row>
    <row r="16">
      <c r="A16" t="str">
        <v>LANGKAH 2: Defuzzifikasi (Center of Area) + Normalisasi</v>
      </c>
    </row>
    <row r="17">
      <c r="A17" t="str">
        <v>Kriteria</v>
      </c>
      <c r="B17" t="str">
        <v>Si_l</v>
      </c>
      <c r="C17" t="str">
        <v>Si_m</v>
      </c>
      <c r="D17" t="str">
        <v>Si_u</v>
      </c>
      <c r="E17" t="str">
        <v>Defuzzy = (l+m+u)/3</v>
      </c>
      <c r="F17" t="str">
        <v>Bobot Normal</v>
      </c>
      <c r="G17" t="str">
        <v>Bobot %</v>
      </c>
      <c r="H17" t="str">
        <v>Ranking</v>
      </c>
    </row>
    <row r="18">
      <c r="A18" t="str">
        <v>F1</v>
      </c>
      <c r="B18">
        <f>H7</f>
      </c>
      <c r="C18">
        <f>I7</f>
      </c>
      <c r="D18">
        <f>J7</f>
      </c>
      <c r="E18">
        <f>(B18+C18+D18)/3</f>
      </c>
      <c r="F18">
        <f>E18/E25</f>
      </c>
      <c r="G18">
        <f>F18*100</f>
      </c>
      <c r="H18">
        <f>RANK(F18,F$18:F$24,0)</f>
      </c>
    </row>
    <row r="19">
      <c r="A19" t="str">
        <v>F2</v>
      </c>
      <c r="B19">
        <f>H8</f>
      </c>
      <c r="C19">
        <f>I8</f>
      </c>
      <c r="D19">
        <f>J8</f>
      </c>
      <c r="E19">
        <f>(B19+C19+D19)/3</f>
      </c>
      <c r="F19">
        <f>E19/E25</f>
      </c>
      <c r="G19">
        <f>F19*100</f>
      </c>
      <c r="H19">
        <f>RANK(F19,F$18:F$24,0)</f>
      </c>
    </row>
    <row r="20">
      <c r="A20" t="str">
        <v>F3</v>
      </c>
      <c r="B20">
        <f>H9</f>
      </c>
      <c r="C20">
        <f>I9</f>
      </c>
      <c r="D20">
        <f>J9</f>
      </c>
      <c r="E20">
        <f>(B20+C20+D20)/3</f>
      </c>
      <c r="F20">
        <f>E20/E25</f>
      </c>
      <c r="G20">
        <f>F20*100</f>
      </c>
      <c r="H20">
        <f>RANK(F20,F$18:F$24,0)</f>
      </c>
    </row>
    <row r="21">
      <c r="A21" t="str">
        <v>F4</v>
      </c>
      <c r="B21">
        <f>H10</f>
      </c>
      <c r="C21">
        <f>I10</f>
      </c>
      <c r="D21">
        <f>J10</f>
      </c>
      <c r="E21">
        <f>(B21+C21+D21)/3</f>
      </c>
      <c r="F21">
        <f>E21/E25</f>
      </c>
      <c r="G21">
        <f>F21*100</f>
      </c>
      <c r="H21">
        <f>RANK(F21,F$18:F$24,0)</f>
      </c>
    </row>
    <row r="22">
      <c r="A22" t="str">
        <v>F5</v>
      </c>
      <c r="B22">
        <f>H11</f>
      </c>
      <c r="C22">
        <f>I11</f>
      </c>
      <c r="D22">
        <f>J11</f>
      </c>
      <c r="E22">
        <f>(B22+C22+D22)/3</f>
      </c>
      <c r="F22">
        <f>E22/E25</f>
      </c>
      <c r="G22">
        <f>F22*100</f>
      </c>
      <c r="H22">
        <f>RANK(F22,F$18:F$24,0)</f>
      </c>
    </row>
    <row r="23">
      <c r="A23" t="str">
        <v>F6</v>
      </c>
      <c r="B23">
        <f>H12</f>
      </c>
      <c r="C23">
        <f>I12</f>
      </c>
      <c r="D23">
        <f>J12</f>
      </c>
      <c r="E23">
        <f>(B23+C23+D23)/3</f>
      </c>
      <c r="F23">
        <f>E23/E25</f>
      </c>
      <c r="G23">
        <f>F23*100</f>
      </c>
      <c r="H23">
        <f>RANK(F23,F$18:F$24,0)</f>
      </c>
    </row>
    <row r="24">
      <c r="A24" t="str">
        <v>F7</v>
      </c>
      <c r="B24">
        <f>H13</f>
      </c>
      <c r="C24">
        <f>I13</f>
      </c>
      <c r="D24">
        <f>J13</f>
      </c>
      <c r="E24">
        <f>(B24+C24+D24)/3</f>
      </c>
      <c r="F24">
        <f>E24/E25</f>
      </c>
      <c r="G24">
        <f>F24*100</f>
      </c>
      <c r="H24">
        <f>RANK(F24,F$18:F$24,0)</f>
      </c>
    </row>
    <row r="25">
      <c r="D25" t="str">
        <v>TOTAL</v>
      </c>
      <c r="E25">
        <f>SUM(E18:E24)</f>
      </c>
    </row>
  </sheetData>
  <ignoredErrors>
    <ignoredError numberStoredAsText="1" sqref="A1:K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CP2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FD1</v>
      </c>
      <c r="C5" t="str">
        <v>FD2</v>
      </c>
      <c r="D5" t="str">
        <v>A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FD1</v>
      </c>
      <c r="C6" t="str">
        <v>FD3</v>
      </c>
      <c r="D6" t="str">
        <v>A</v>
      </c>
      <c r="E6">
        <v>2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FD1</v>
      </c>
      <c r="C7" t="str">
        <v>FD4</v>
      </c>
      <c r="D7" t="str">
        <v>A</v>
      </c>
      <c r="E7">
        <v>2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FD1</v>
      </c>
      <c r="C8" t="str">
        <v>FD5</v>
      </c>
      <c r="D8" t="str">
        <v>A</v>
      </c>
      <c r="E8">
        <v>2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FD2</v>
      </c>
      <c r="C9" t="str">
        <v>FD3</v>
      </c>
      <c r="D9" t="str">
        <v>A</v>
      </c>
      <c r="E9">
        <v>1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FD2</v>
      </c>
      <c r="C10" t="str">
        <v>FD4</v>
      </c>
      <c r="D10" t="str">
        <v>A</v>
      </c>
      <c r="E10">
        <v>1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FD2</v>
      </c>
      <c r="C11" t="str">
        <v>FD5</v>
      </c>
      <c r="D11" t="str">
        <v>A</v>
      </c>
      <c r="E11">
        <v>1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FD3</v>
      </c>
      <c r="C12" t="str">
        <v>FD4</v>
      </c>
      <c r="D12" t="str">
        <v>A</v>
      </c>
      <c r="E12">
        <v>1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FD3</v>
      </c>
      <c r="C13" t="str">
        <v>FD5</v>
      </c>
      <c r="D13" t="str">
        <v>A</v>
      </c>
      <c r="E13">
        <v>1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FD4</v>
      </c>
      <c r="C14" t="str">
        <v>FD5</v>
      </c>
      <c r="D14" t="str">
        <v>A</v>
      </c>
      <c r="E14">
        <v>1</v>
      </c>
      <c r="F14">
        <f>IF(E14=1,"Sama Penting",IF(E14=3,"Sedikit Lebih Penting",IF(E14=5,"Lebih Penting",IF(E14=7,"Sangat Lebih Penting",IF(E14=9,"Mutlak Lebih Penting","Nilai Antara")))))</f>
      </c>
    </row>
    <row r="17">
      <c r="A17" t="str">
        <v>Tabel Random Index (RI) — Saaty</v>
      </c>
    </row>
    <row r="18">
      <c r="A18" t="str">
        <v>n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</row>
    <row r="19">
      <c r="A19" t="str">
        <v>RI</v>
      </c>
      <c r="B19">
        <v>0</v>
      </c>
      <c r="C19">
        <v>0</v>
      </c>
      <c r="D19">
        <v>0.58</v>
      </c>
      <c r="E19">
        <v>0.9</v>
      </c>
      <c r="F19">
        <v>1.12</v>
      </c>
      <c r="G19">
        <v>1.24</v>
      </c>
      <c r="H19">
        <v>1.32</v>
      </c>
      <c r="I19">
        <v>1.41</v>
      </c>
      <c r="J19">
        <v>1.45</v>
      </c>
      <c r="K19">
        <v>1.49</v>
      </c>
    </row>
    <row r="21">
      <c r="A21" t="str">
        <v>Skala Saaty → TFN (Triangular Fuzzy Number)</v>
      </c>
    </row>
    <row r="22">
      <c r="A22" t="str">
        <v>Skala</v>
      </c>
      <c r="B22" t="str">
        <v>l</v>
      </c>
      <c r="C22" t="str">
        <v>m</v>
      </c>
      <c r="D22" t="str">
        <v>u</v>
      </c>
    </row>
    <row r="23">
      <c r="A23">
        <v>1</v>
      </c>
      <c r="B23">
        <v>1</v>
      </c>
      <c r="C23">
        <v>1</v>
      </c>
      <c r="D23">
        <v>1</v>
      </c>
    </row>
    <row r="24">
      <c r="A24">
        <v>2</v>
      </c>
      <c r="B24">
        <v>1</v>
      </c>
      <c r="C24">
        <v>2</v>
      </c>
      <c r="D24">
        <v>3</v>
      </c>
    </row>
    <row r="25">
      <c r="A25">
        <v>3</v>
      </c>
      <c r="B25">
        <v>1</v>
      </c>
      <c r="C25">
        <v>3</v>
      </c>
      <c r="D25">
        <v>5</v>
      </c>
    </row>
    <row r="26">
      <c r="A26">
        <v>4</v>
      </c>
      <c r="B26">
        <v>3</v>
      </c>
      <c r="C26">
        <v>4</v>
      </c>
      <c r="D26">
        <v>5</v>
      </c>
    </row>
    <row r="27">
      <c r="A27">
        <v>5</v>
      </c>
      <c r="B27">
        <v>3</v>
      </c>
      <c r="C27">
        <v>5</v>
      </c>
      <c r="D27">
        <v>7</v>
      </c>
    </row>
    <row r="28">
      <c r="A28">
        <v>6</v>
      </c>
      <c r="B28">
        <v>5</v>
      </c>
      <c r="C28">
        <v>6</v>
      </c>
      <c r="D28">
        <v>7</v>
      </c>
    </row>
    <row r="29">
      <c r="A29">
        <v>7</v>
      </c>
      <c r="B29">
        <v>5</v>
      </c>
      <c r="C29">
        <v>7</v>
      </c>
      <c r="D29">
        <v>9</v>
      </c>
    </row>
    <row r="30">
      <c r="A30">
        <v>8</v>
      </c>
      <c r="B30">
        <v>7</v>
      </c>
      <c r="C30">
        <v>8</v>
      </c>
      <c r="D30">
        <v>9</v>
      </c>
    </row>
    <row r="31">
      <c r="A31">
        <v>9</v>
      </c>
      <c r="B31">
        <v>7</v>
      </c>
      <c r="C31">
        <v>9</v>
      </c>
      <c r="D31">
        <v>9</v>
      </c>
    </row>
  </sheetData>
  <ignoredErrors>
    <ignoredError numberStoredAsText="1" sqref="A1:K3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MATRIKS PERBANDINGAN BERPASANGAN — Level 2 — Sub-Kriteria CP2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FD1</v>
      </c>
      <c r="C5" t="str">
        <v>FD2</v>
      </c>
      <c r="D5" t="str">
        <v>FD3</v>
      </c>
      <c r="E5" t="str">
        <v>FD4</v>
      </c>
      <c r="F5" t="str">
        <v>FD5</v>
      </c>
    </row>
    <row r="6">
      <c r="A6" t="str">
        <v>FD1</v>
      </c>
      <c r="B6">
        <v>1</v>
      </c>
      <c r="C6">
        <f>IF('INPUT_CP2'!D5="A",'INPUT_CP2'!E5,1/'INPUT_CP2'!E5)</f>
      </c>
      <c r="D6">
        <f>IF('INPUT_CP2'!D6="A",'INPUT_CP2'!E6,1/'INPUT_CP2'!E6)</f>
      </c>
      <c r="E6">
        <f>IF('INPUT_CP2'!D7="A",'INPUT_CP2'!E7,1/'INPUT_CP2'!E7)</f>
      </c>
      <c r="F6">
        <f>IF('INPUT_CP2'!D8="A",'INPUT_CP2'!E8,1/'INPUT_CP2'!E8)</f>
      </c>
    </row>
    <row r="7">
      <c r="A7" t="str">
        <v>FD2</v>
      </c>
      <c r="B7">
        <f>1/C6</f>
      </c>
      <c r="C7">
        <v>1</v>
      </c>
      <c r="D7">
        <f>IF('INPUT_CP2'!D9="A",'INPUT_CP2'!E9,1/'INPUT_CP2'!E9)</f>
      </c>
      <c r="E7">
        <f>IF('INPUT_CP2'!D10="A",'INPUT_CP2'!E10,1/'INPUT_CP2'!E10)</f>
      </c>
      <c r="F7">
        <f>IF('INPUT_CP2'!D11="A",'INPUT_CP2'!E11,1/'INPUT_CP2'!E11)</f>
      </c>
    </row>
    <row r="8">
      <c r="A8" t="str">
        <v>FD3</v>
      </c>
      <c r="B8">
        <f>1/D6</f>
      </c>
      <c r="C8">
        <f>1/D7</f>
      </c>
      <c r="D8">
        <v>1</v>
      </c>
      <c r="E8">
        <f>IF('INPUT_CP2'!D12="A",'INPUT_CP2'!E12,1/'INPUT_CP2'!E12)</f>
      </c>
      <c r="F8">
        <f>IF('INPUT_CP2'!D13="A",'INPUT_CP2'!E13,1/'INPUT_CP2'!E13)</f>
      </c>
    </row>
    <row r="9">
      <c r="A9" t="str">
        <v>FD4</v>
      </c>
      <c r="B9">
        <f>1/E6</f>
      </c>
      <c r="C9">
        <f>1/E7</f>
      </c>
      <c r="D9">
        <f>1/E8</f>
      </c>
      <c r="E9">
        <v>1</v>
      </c>
      <c r="F9">
        <f>IF('INPUT_CP2'!D14="A",'INPUT_CP2'!E14,1/'INPUT_CP2'!E14)</f>
      </c>
    </row>
    <row r="10">
      <c r="A10" t="str">
        <v>FD5</v>
      </c>
      <c r="B10">
        <f>1/F6</f>
      </c>
      <c r="C10">
        <f>1/F7</f>
      </c>
      <c r="D10">
        <f>1/F8</f>
      </c>
      <c r="E10">
        <f>1/F9</f>
      </c>
      <c r="F10">
        <v>1</v>
      </c>
    </row>
    <row r="12">
      <c r="A12" t="str">
        <v>Jumlah Kolom</v>
      </c>
      <c r="B12">
        <f>SUM(B7:B11)</f>
      </c>
      <c r="C12">
        <f>SUM(C7:C11)</f>
      </c>
      <c r="D12">
        <f>SUM(D7:D11)</f>
      </c>
      <c r="E12">
        <f>SUM(E7:E11)</f>
      </c>
      <c r="F12">
        <f>SUM(F7:F11)</f>
      </c>
    </row>
  </sheetData>
  <ignoredErrors>
    <ignoredError numberStoredAsText="1" sqref="A1:G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8.83203125" customWidth="1"/>
  </cols>
  <sheetData>
    <row r="1">
      <c r="A1" t="str">
        <v>NORMALISASI &amp; BOBOT PRIORITAS — Level 2 — Sub-Kriteria CP2</v>
      </c>
    </row>
    <row r="2">
      <c r="A2" t="str">
        <v>Normalisasi kolom: setiap sel dibagi jumlah kolomnya</v>
      </c>
    </row>
    <row r="4">
      <c r="A4" t="str">
        <v/>
      </c>
      <c r="B4" t="str">
        <v>FD1</v>
      </c>
      <c r="C4" t="str">
        <v>FD2</v>
      </c>
      <c r="D4" t="str">
        <v>FD3</v>
      </c>
      <c r="E4" t="str">
        <v>FD4</v>
      </c>
      <c r="F4" t="str">
        <v>FD5</v>
      </c>
      <c r="G4" t="str">
        <v>Rata-rata (Bobot)</v>
      </c>
    </row>
    <row r="5">
      <c r="A5" t="str">
        <v>FD1</v>
      </c>
      <c r="B5">
        <f>'MATRIKS_CP2'!B6/'MATRIKS_CP2'!B12</f>
      </c>
      <c r="C5">
        <f>'MATRIKS_CP2'!C6/'MATRIKS_CP2'!C12</f>
      </c>
      <c r="D5">
        <f>'MATRIKS_CP2'!D6/'MATRIKS_CP2'!D12</f>
      </c>
      <c r="E5">
        <f>'MATRIKS_CP2'!E6/'MATRIKS_CP2'!E12</f>
      </c>
      <c r="F5">
        <f>'MATRIKS_CP2'!F6/'MATRIKS_CP2'!F12</f>
      </c>
      <c r="G5">
        <f>AVERAGE(B5:F5)</f>
      </c>
    </row>
    <row r="6">
      <c r="A6" t="str">
        <v>FD2</v>
      </c>
      <c r="B6">
        <f>'MATRIKS_CP2'!B7/'MATRIKS_CP2'!B12</f>
      </c>
      <c r="C6">
        <f>'MATRIKS_CP2'!C7/'MATRIKS_CP2'!C12</f>
      </c>
      <c r="D6">
        <f>'MATRIKS_CP2'!D7/'MATRIKS_CP2'!D12</f>
      </c>
      <c r="E6">
        <f>'MATRIKS_CP2'!E7/'MATRIKS_CP2'!E12</f>
      </c>
      <c r="F6">
        <f>'MATRIKS_CP2'!F7/'MATRIKS_CP2'!F12</f>
      </c>
      <c r="G6">
        <f>AVERAGE(B6:F6)</f>
      </c>
    </row>
    <row r="7">
      <c r="A7" t="str">
        <v>FD3</v>
      </c>
      <c r="B7">
        <f>'MATRIKS_CP2'!B8/'MATRIKS_CP2'!B12</f>
      </c>
      <c r="C7">
        <f>'MATRIKS_CP2'!C8/'MATRIKS_CP2'!C12</f>
      </c>
      <c r="D7">
        <f>'MATRIKS_CP2'!D8/'MATRIKS_CP2'!D12</f>
      </c>
      <c r="E7">
        <f>'MATRIKS_CP2'!E8/'MATRIKS_CP2'!E12</f>
      </c>
      <c r="F7">
        <f>'MATRIKS_CP2'!F8/'MATRIKS_CP2'!F12</f>
      </c>
      <c r="G7">
        <f>AVERAGE(B7:F7)</f>
      </c>
    </row>
    <row r="8">
      <c r="A8" t="str">
        <v>FD4</v>
      </c>
      <c r="B8">
        <f>'MATRIKS_CP2'!B9/'MATRIKS_CP2'!B12</f>
      </c>
      <c r="C8">
        <f>'MATRIKS_CP2'!C9/'MATRIKS_CP2'!C12</f>
      </c>
      <c r="D8">
        <f>'MATRIKS_CP2'!D9/'MATRIKS_CP2'!D12</f>
      </c>
      <c r="E8">
        <f>'MATRIKS_CP2'!E9/'MATRIKS_CP2'!E12</f>
      </c>
      <c r="F8">
        <f>'MATRIKS_CP2'!F9/'MATRIKS_CP2'!F12</f>
      </c>
      <c r="G8">
        <f>AVERAGE(B8:F8)</f>
      </c>
    </row>
    <row r="9">
      <c r="A9" t="str">
        <v>FD5</v>
      </c>
      <c r="B9">
        <f>'MATRIKS_CP2'!B10/'MATRIKS_CP2'!B12</f>
      </c>
      <c r="C9">
        <f>'MATRIKS_CP2'!C10/'MATRIKS_CP2'!C12</f>
      </c>
      <c r="D9">
        <f>'MATRIKS_CP2'!D10/'MATRIKS_CP2'!D12</f>
      </c>
      <c r="E9">
        <f>'MATRIKS_CP2'!E10/'MATRIKS_CP2'!E12</f>
      </c>
      <c r="F9">
        <f>'MATRIKS_CP2'!F10/'MATRIKS_CP2'!F12</f>
      </c>
      <c r="G9">
        <f>AVERAGE(B9:F9)</f>
      </c>
    </row>
    <row r="11">
      <c r="F11" t="str">
        <v>Total</v>
      </c>
      <c r="G11">
        <f>SUM(G5:G9)</f>
      </c>
    </row>
  </sheetData>
  <ignoredErrors>
    <ignoredError numberStoredAsText="1" sqref="A1:H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CP2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FD1</v>
      </c>
      <c r="B6">
        <f>'NORM_CP2'!G5</f>
      </c>
      <c r="C6">
        <f>SUMPRODUCT('MATRIKS_CP2'!B6:'MATRIKS_CP2'!F6,$B6:$B10)</f>
      </c>
      <c r="D6">
        <f>C6/B6</f>
      </c>
    </row>
    <row r="7">
      <c r="A7" t="str">
        <v>FD2</v>
      </c>
      <c r="B7">
        <f>'NORM_CP2'!G6</f>
      </c>
      <c r="C7">
        <f>SUMPRODUCT('MATRIKS_CP2'!B7:'MATRIKS_CP2'!F7,$B6:$B10)</f>
      </c>
      <c r="D7">
        <f>C7/B7</f>
      </c>
    </row>
    <row r="8">
      <c r="A8" t="str">
        <v>FD3</v>
      </c>
      <c r="B8">
        <f>'NORM_CP2'!G7</f>
      </c>
      <c r="C8">
        <f>SUMPRODUCT('MATRIKS_CP2'!B8:'MATRIKS_CP2'!F8,$B6:$B10)</f>
      </c>
      <c r="D8">
        <f>C8/B8</f>
      </c>
    </row>
    <row r="9">
      <c r="A9" t="str">
        <v>FD4</v>
      </c>
      <c r="B9">
        <f>'NORM_CP2'!G8</f>
      </c>
      <c r="C9">
        <f>SUMPRODUCT('MATRIKS_CP2'!B9:'MATRIKS_CP2'!F9,$B6:$B10)</f>
      </c>
      <c r="D9">
        <f>C9/B9</f>
      </c>
    </row>
    <row r="10">
      <c r="A10" t="str">
        <v>FD5</v>
      </c>
      <c r="B10">
        <f>'NORM_CP2'!G9</f>
      </c>
      <c r="C10">
        <f>SUMPRODUCT('MATRIKS_CP2'!B10:'MATRIKS_CP2'!F10,$B6:$B10)</f>
      </c>
      <c r="D10">
        <f>C10/B10</f>
      </c>
    </row>
    <row r="13">
      <c r="A13" t="str">
        <v>LANGKAH 2: Perhitungan λmax, CI, CR</v>
      </c>
    </row>
    <row r="14">
      <c r="A14" t="str">
        <v>n (jumlah kriteria)</v>
      </c>
      <c r="B14">
        <v>5</v>
      </c>
    </row>
    <row r="15">
      <c r="A15" t="str">
        <v>λmax</v>
      </c>
      <c r="B15">
        <f>AVERAGE(D6:D10)</f>
      </c>
    </row>
    <row r="16">
      <c r="A16" t="str">
        <v>CI (Consistency Index)</v>
      </c>
      <c r="B16">
        <f>(B15-B14)/(B14-1)</f>
      </c>
    </row>
    <row r="17">
      <c r="A17" t="str">
        <v>RI (Random Index)</v>
      </c>
      <c r="B17">
        <v>1.12</v>
      </c>
    </row>
    <row r="18">
      <c r="A18" t="str">
        <v>CR (Consistency Ratio)</v>
      </c>
      <c r="B18">
        <f>B16/B17</f>
      </c>
    </row>
    <row r="20">
      <c r="A20" t="str">
        <v>KESIMPULAN</v>
      </c>
      <c r="B20">
        <f>IF(B18&lt;0.1,"KONSISTEN ✓ (CR &lt; 0.10)","TIDAK KONSISTEN ✗ (CR ≥ 0.10, perlu revisi)")</f>
      </c>
    </row>
    <row r="22">
      <c r="A22" t="str">
        <v>Catatan:</v>
      </c>
    </row>
    <row r="23">
      <c r="A23" t="str">
        <v>• CR &lt; 0.10 → Matriks dianggap konsisten</v>
      </c>
    </row>
    <row r="24">
      <c r="A24" t="str">
        <v>• CR ≥ 0.10 → Matriks TIDAK konsisten, perlu revisi penilaian</v>
      </c>
    </row>
    <row r="25">
      <c r="A25" t="str">
        <v>• λmax ideal ≈ n (jumlah kriteria)</v>
      </c>
    </row>
  </sheetData>
  <ignoredErrors>
    <ignoredError numberStoredAsText="1" sqref="A1:E2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MATRIKS TFN FUZZY — Level 2 — Sub-Kriteria CP2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FD1</v>
      </c>
      <c r="C19" t="str">
        <v>FD2</v>
      </c>
      <c r="D19" t="str">
        <v>FD3</v>
      </c>
      <c r="E19" t="str">
        <v>FD4</v>
      </c>
      <c r="F19" t="str">
        <v>FD5</v>
      </c>
    </row>
    <row r="20">
      <c r="A20" t="str">
        <v>FD1</v>
      </c>
      <c r="B20">
        <v>1</v>
      </c>
      <c r="C20">
        <f>IF('INPUT_CP2'!D5="A",VLOOKUP('INPUT_CP2'!E5,$A$7:$D$15,2,FALSE),1/VLOOKUP('INPUT_CP2'!E5,$A$7:$D$15,4,FALSE))</f>
      </c>
      <c r="D20">
        <f>IF('INPUT_CP2'!D6="A",VLOOKUP('INPUT_CP2'!E6,$A$7:$D$15,2,FALSE),1/VLOOKUP('INPUT_CP2'!E6,$A$7:$D$15,4,FALSE))</f>
      </c>
      <c r="E20">
        <f>IF('INPUT_CP2'!D7="A",VLOOKUP('INPUT_CP2'!E7,$A$7:$D$15,2,FALSE),1/VLOOKUP('INPUT_CP2'!E7,$A$7:$D$15,4,FALSE))</f>
      </c>
      <c r="F20">
        <f>IF('INPUT_CP2'!D8="A",VLOOKUP('INPUT_CP2'!E8,$A$7:$D$15,2,FALSE),1/VLOOKUP('INPUT_CP2'!E8,$A$7:$D$15,4,FALSE))</f>
      </c>
      <c r="G20" t="str">
        <v>Σ Baris</v>
      </c>
    </row>
    <row r="21">
      <c r="A21" t="str">
        <v>FD2</v>
      </c>
      <c r="B21">
        <f>IF('INPUT_CP2'!D5="A",1/VLOOKUP('INPUT_CP2'!E5,$A$7:$D$15,4,FALSE),VLOOKUP('INPUT_CP2'!E5,$A$7:$D$15,2,FALSE))</f>
      </c>
      <c r="C21">
        <v>1</v>
      </c>
      <c r="D21">
        <f>IF('INPUT_CP2'!D9="A",VLOOKUP('INPUT_CP2'!E9,$A$7:$D$15,2,FALSE),1/VLOOKUP('INPUT_CP2'!E9,$A$7:$D$15,4,FALSE))</f>
      </c>
      <c r="E21">
        <f>IF('INPUT_CP2'!D10="A",VLOOKUP('INPUT_CP2'!E10,$A$7:$D$15,2,FALSE),1/VLOOKUP('INPUT_CP2'!E10,$A$7:$D$15,4,FALSE))</f>
      </c>
      <c r="F21">
        <f>IF('INPUT_CP2'!D11="A",VLOOKUP('INPUT_CP2'!E11,$A$7:$D$15,2,FALSE),1/VLOOKUP('INPUT_CP2'!E11,$A$7:$D$15,4,FALSE))</f>
      </c>
      <c r="G21">
        <f>SUM(B21:F21)</f>
      </c>
    </row>
    <row r="22">
      <c r="A22" t="str">
        <v>FD3</v>
      </c>
      <c r="B22">
        <f>IF('INPUT_CP2'!D6="A",1/VLOOKUP('INPUT_CP2'!E6,$A$7:$D$15,4,FALSE),VLOOKUP('INPUT_CP2'!E6,$A$7:$D$15,2,FALSE))</f>
      </c>
      <c r="C22">
        <f>IF('INPUT_CP2'!D9="A",1/VLOOKUP('INPUT_CP2'!E9,$A$7:$D$15,4,FALSE),VLOOKUP('INPUT_CP2'!E9,$A$7:$D$15,2,FALSE))</f>
      </c>
      <c r="D22">
        <v>1</v>
      </c>
      <c r="E22">
        <f>IF('INPUT_CP2'!D12="A",VLOOKUP('INPUT_CP2'!E12,$A$7:$D$15,2,FALSE),1/VLOOKUP('INPUT_CP2'!E12,$A$7:$D$15,4,FALSE))</f>
      </c>
      <c r="F22">
        <f>IF('INPUT_CP2'!D13="A",VLOOKUP('INPUT_CP2'!E13,$A$7:$D$15,2,FALSE),1/VLOOKUP('INPUT_CP2'!E13,$A$7:$D$15,4,FALSE))</f>
      </c>
      <c r="G22">
        <f>SUM(B22:F22)</f>
      </c>
    </row>
    <row r="23">
      <c r="A23" t="str">
        <v>FD4</v>
      </c>
      <c r="B23">
        <f>IF('INPUT_CP2'!D7="A",1/VLOOKUP('INPUT_CP2'!E7,$A$7:$D$15,4,FALSE),VLOOKUP('INPUT_CP2'!E7,$A$7:$D$15,2,FALSE))</f>
      </c>
      <c r="C23">
        <f>IF('INPUT_CP2'!D10="A",1/VLOOKUP('INPUT_CP2'!E10,$A$7:$D$15,4,FALSE),VLOOKUP('INPUT_CP2'!E10,$A$7:$D$15,2,FALSE))</f>
      </c>
      <c r="D23">
        <f>IF('INPUT_CP2'!D12="A",1/VLOOKUP('INPUT_CP2'!E12,$A$7:$D$15,4,FALSE),VLOOKUP('INPUT_CP2'!E12,$A$7:$D$15,2,FALSE))</f>
      </c>
      <c r="E23">
        <v>1</v>
      </c>
      <c r="F23">
        <f>IF('INPUT_CP2'!D14="A",VLOOKUP('INPUT_CP2'!E14,$A$7:$D$15,2,FALSE),1/VLOOKUP('INPUT_CP2'!E14,$A$7:$D$15,4,FALSE))</f>
      </c>
      <c r="G23">
        <f>SUM(B23:F23)</f>
      </c>
    </row>
    <row r="24">
      <c r="A24" t="str">
        <v>FD5</v>
      </c>
      <c r="B24">
        <f>IF('INPUT_CP2'!D8="A",1/VLOOKUP('INPUT_CP2'!E8,$A$7:$D$15,4,FALSE),VLOOKUP('INPUT_CP2'!E8,$A$7:$D$15,2,FALSE))</f>
      </c>
      <c r="C24">
        <f>IF('INPUT_CP2'!D11="A",1/VLOOKUP('INPUT_CP2'!E11,$A$7:$D$15,4,FALSE),VLOOKUP('INPUT_CP2'!E11,$A$7:$D$15,2,FALSE))</f>
      </c>
      <c r="D24">
        <f>IF('INPUT_CP2'!D13="A",1/VLOOKUP('INPUT_CP2'!E13,$A$7:$D$15,4,FALSE),VLOOKUP('INPUT_CP2'!E13,$A$7:$D$15,2,FALSE))</f>
      </c>
      <c r="E24">
        <f>IF('INPUT_CP2'!D14="A",1/VLOOKUP('INPUT_CP2'!E14,$A$7:$D$15,4,FALSE),VLOOKUP('INPUT_CP2'!E14,$A$7:$D$15,2,FALSE))</f>
      </c>
      <c r="F24">
        <v>1</v>
      </c>
      <c r="G24">
        <f>SUM(B24:F24)</f>
      </c>
    </row>
    <row r="25">
      <c r="G25">
        <f>SUM(B25:F25)</f>
      </c>
    </row>
    <row r="26">
      <c r="A26" t="str">
        <v>TOTAL</v>
      </c>
      <c r="G26">
        <f>SUM(G21:G25)</f>
      </c>
    </row>
    <row r="27">
      <c r="G27">
        <f>SUM(B22:F22)</f>
      </c>
    </row>
    <row r="28">
      <c r="G28">
        <f>SUM(B23:F23)</f>
      </c>
    </row>
    <row r="29">
      <c r="A29" t="str">
        <v>MATRIKS TFN — Komponen m (Middle)</v>
      </c>
      <c r="G29">
        <f>SUM(B24:F24)</f>
      </c>
    </row>
    <row r="30">
      <c r="A30" t="str">
        <v/>
      </c>
      <c r="B30" t="str">
        <v>FD1</v>
      </c>
      <c r="C30" t="str">
        <v>FD2</v>
      </c>
      <c r="D30" t="str">
        <v>FD3</v>
      </c>
      <c r="E30" t="str">
        <v>FD4</v>
      </c>
      <c r="F30" t="str">
        <v>FD5</v>
      </c>
      <c r="G30" t="str">
        <v>Σ Baris</v>
      </c>
    </row>
    <row r="31">
      <c r="A31" t="str">
        <v>FD1</v>
      </c>
      <c r="B31">
        <v>1</v>
      </c>
      <c r="C31">
        <f>IF('INPUT_CP2'!D5="A",VLOOKUP('INPUT_CP2'!E5,$A$7:$D$15,3,FALSE),1/VLOOKUP('INPUT_CP2'!E5,$A$7:$D$15,3,FALSE))</f>
      </c>
      <c r="D31">
        <f>IF('INPUT_CP2'!D6="A",VLOOKUP('INPUT_CP2'!E6,$A$7:$D$15,3,FALSE),1/VLOOKUP('INPUT_CP2'!E6,$A$7:$D$15,3,FALSE))</f>
      </c>
      <c r="E31">
        <f>IF('INPUT_CP2'!D7="A",VLOOKUP('INPUT_CP2'!E7,$A$7:$D$15,3,FALSE),1/VLOOKUP('INPUT_CP2'!E7,$A$7:$D$15,3,FALSE))</f>
      </c>
      <c r="F31">
        <f>IF('INPUT_CP2'!D8="A",VLOOKUP('INPUT_CP2'!E8,$A$7:$D$15,3,FALSE),1/VLOOKUP('INPUT_CP2'!E8,$A$7:$D$15,3,FALSE))</f>
      </c>
      <c r="G31">
        <f>SUM(B31:F31)</f>
      </c>
    </row>
    <row r="32">
      <c r="A32" t="str">
        <v>FD2</v>
      </c>
      <c r="B32">
        <f>IF('INPUT_CP2'!D5="A",1/VLOOKUP('INPUT_CP2'!E5,$A$7:$D$15,3,FALSE),VLOOKUP('INPUT_CP2'!E5,$A$7:$D$15,3,FALSE))</f>
      </c>
      <c r="C32">
        <v>1</v>
      </c>
      <c r="D32">
        <f>IF('INPUT_CP2'!D9="A",VLOOKUP('INPUT_CP2'!E9,$A$7:$D$15,3,FALSE),1/VLOOKUP('INPUT_CP2'!E9,$A$7:$D$15,3,FALSE))</f>
      </c>
      <c r="E32">
        <f>IF('INPUT_CP2'!D10="A",VLOOKUP('INPUT_CP2'!E10,$A$7:$D$15,3,FALSE),1/VLOOKUP('INPUT_CP2'!E10,$A$7:$D$15,3,FALSE))</f>
      </c>
      <c r="F32">
        <f>IF('INPUT_CP2'!D11="A",VLOOKUP('INPUT_CP2'!E11,$A$7:$D$15,3,FALSE),1/VLOOKUP('INPUT_CP2'!E11,$A$7:$D$15,3,FALSE))</f>
      </c>
      <c r="G32">
        <f>SUM(B32:F32)</f>
      </c>
    </row>
    <row r="33">
      <c r="A33" t="str">
        <v>FD3</v>
      </c>
      <c r="B33">
        <f>IF('INPUT_CP2'!D6="A",1/VLOOKUP('INPUT_CP2'!E6,$A$7:$D$15,3,FALSE),VLOOKUP('INPUT_CP2'!E6,$A$7:$D$15,3,FALSE))</f>
      </c>
      <c r="C33">
        <f>IF('INPUT_CP2'!D9="A",1/VLOOKUP('INPUT_CP2'!E9,$A$7:$D$15,3,FALSE),VLOOKUP('INPUT_CP2'!E9,$A$7:$D$15,3,FALSE))</f>
      </c>
      <c r="D33">
        <v>1</v>
      </c>
      <c r="E33">
        <f>IF('INPUT_CP2'!D12="A",VLOOKUP('INPUT_CP2'!E12,$A$7:$D$15,3,FALSE),1/VLOOKUP('INPUT_CP2'!E12,$A$7:$D$15,3,FALSE))</f>
      </c>
      <c r="F33">
        <f>IF('INPUT_CP2'!D13="A",VLOOKUP('INPUT_CP2'!E13,$A$7:$D$15,3,FALSE),1/VLOOKUP('INPUT_CP2'!E13,$A$7:$D$15,3,FALSE))</f>
      </c>
      <c r="G33">
        <f>SUM(B33:F33)</f>
      </c>
    </row>
    <row r="34">
      <c r="A34" t="str">
        <v>FD4</v>
      </c>
      <c r="B34">
        <f>IF('INPUT_CP2'!D7="A",1/VLOOKUP('INPUT_CP2'!E7,$A$7:$D$15,3,FALSE),VLOOKUP('INPUT_CP2'!E7,$A$7:$D$15,3,FALSE))</f>
      </c>
      <c r="C34">
        <f>IF('INPUT_CP2'!D10="A",1/VLOOKUP('INPUT_CP2'!E10,$A$7:$D$15,3,FALSE),VLOOKUP('INPUT_CP2'!E10,$A$7:$D$15,3,FALSE))</f>
      </c>
      <c r="D34">
        <f>IF('INPUT_CP2'!D12="A",1/VLOOKUP('INPUT_CP2'!E12,$A$7:$D$15,3,FALSE),VLOOKUP('INPUT_CP2'!E12,$A$7:$D$15,3,FALSE))</f>
      </c>
      <c r="E34">
        <v>1</v>
      </c>
      <c r="F34">
        <f>IF('INPUT_CP2'!D14="A",VLOOKUP('INPUT_CP2'!E14,$A$7:$D$15,3,FALSE),1/VLOOKUP('INPUT_CP2'!E14,$A$7:$D$15,3,FALSE))</f>
      </c>
      <c r="G34">
        <f>SUM(B34:F34)</f>
      </c>
    </row>
    <row r="35">
      <c r="A35" t="str">
        <v>FD5</v>
      </c>
      <c r="B35">
        <f>IF('INPUT_CP2'!D8="A",1/VLOOKUP('INPUT_CP2'!E8,$A$7:$D$15,3,FALSE),VLOOKUP('INPUT_CP2'!E8,$A$7:$D$15,3,FALSE))</f>
      </c>
      <c r="C35">
        <f>IF('INPUT_CP2'!D11="A",1/VLOOKUP('INPUT_CP2'!E11,$A$7:$D$15,3,FALSE),VLOOKUP('INPUT_CP2'!E11,$A$7:$D$15,3,FALSE))</f>
      </c>
      <c r="D35">
        <f>IF('INPUT_CP2'!D13="A",1/VLOOKUP('INPUT_CP2'!E13,$A$7:$D$15,3,FALSE),VLOOKUP('INPUT_CP2'!E13,$A$7:$D$15,3,FALSE))</f>
      </c>
      <c r="E35">
        <f>IF('INPUT_CP2'!D14="A",1/VLOOKUP('INPUT_CP2'!E14,$A$7:$D$15,3,FALSE),VLOOKUP('INPUT_CP2'!E14,$A$7:$D$15,3,FALSE))</f>
      </c>
      <c r="F35">
        <v>1</v>
      </c>
      <c r="G35">
        <f>SUM(B35:F35)</f>
      </c>
    </row>
    <row r="36">
      <c r="A36" t="str">
        <v>TOTAL</v>
      </c>
      <c r="G36">
        <f>SUM(G32:G36)</f>
      </c>
    </row>
    <row r="39">
      <c r="A39" t="str">
        <v>MATRIKS TFN — Komponen u (Upper)</v>
      </c>
    </row>
    <row r="40">
      <c r="A40" t="str">
        <v/>
      </c>
      <c r="B40" t="str">
        <v>FD1</v>
      </c>
      <c r="C40" t="str">
        <v>FD2</v>
      </c>
      <c r="D40" t="str">
        <v>FD3</v>
      </c>
      <c r="E40" t="str">
        <v>FD4</v>
      </c>
      <c r="F40" t="str">
        <v>FD5</v>
      </c>
      <c r="G40" t="str">
        <v>Σ Baris</v>
      </c>
    </row>
    <row r="41">
      <c r="A41" t="str">
        <v>FD1</v>
      </c>
      <c r="B41">
        <v>1</v>
      </c>
      <c r="C41">
        <f>IF('INPUT_CP2'!D5="A",VLOOKUP('INPUT_CP2'!E5,$A$7:$D$15,4,FALSE),1/VLOOKUP('INPUT_CP2'!E5,$A$7:$D$15,2,FALSE))</f>
      </c>
      <c r="D41">
        <f>IF('INPUT_CP2'!D6="A",VLOOKUP('INPUT_CP2'!E6,$A$7:$D$15,4,FALSE),1/VLOOKUP('INPUT_CP2'!E6,$A$7:$D$15,2,FALSE))</f>
      </c>
      <c r="E41">
        <f>IF('INPUT_CP2'!D7="A",VLOOKUP('INPUT_CP2'!E7,$A$7:$D$15,4,FALSE),1/VLOOKUP('INPUT_CP2'!E7,$A$7:$D$15,2,FALSE))</f>
      </c>
      <c r="F41">
        <f>IF('INPUT_CP2'!D8="A",VLOOKUP('INPUT_CP2'!E8,$A$7:$D$15,4,FALSE),1/VLOOKUP('INPUT_CP2'!E8,$A$7:$D$15,2,FALSE))</f>
      </c>
      <c r="G41">
        <f>SUM(B41:F41)</f>
      </c>
    </row>
    <row r="42">
      <c r="A42" t="str">
        <v>FD2</v>
      </c>
      <c r="B42">
        <f>IF('INPUT_CP2'!D5="A",1/VLOOKUP('INPUT_CP2'!E5,$A$7:$D$15,2,FALSE),VLOOKUP('INPUT_CP2'!E5,$A$7:$D$15,4,FALSE))</f>
      </c>
      <c r="C42">
        <v>1</v>
      </c>
      <c r="D42">
        <f>IF('INPUT_CP2'!D9="A",VLOOKUP('INPUT_CP2'!E9,$A$7:$D$15,4,FALSE),1/VLOOKUP('INPUT_CP2'!E9,$A$7:$D$15,2,FALSE))</f>
      </c>
      <c r="E42">
        <f>IF('INPUT_CP2'!D10="A",VLOOKUP('INPUT_CP2'!E10,$A$7:$D$15,4,FALSE),1/VLOOKUP('INPUT_CP2'!E10,$A$7:$D$15,2,FALSE))</f>
      </c>
      <c r="F42">
        <f>IF('INPUT_CP2'!D11="A",VLOOKUP('INPUT_CP2'!E11,$A$7:$D$15,4,FALSE),1/VLOOKUP('INPUT_CP2'!E11,$A$7:$D$15,2,FALSE))</f>
      </c>
      <c r="G42">
        <f>SUM(B42:F42)</f>
      </c>
    </row>
    <row r="43">
      <c r="A43" t="str">
        <v>FD3</v>
      </c>
      <c r="B43">
        <f>IF('INPUT_CP2'!D6="A",1/VLOOKUP('INPUT_CP2'!E6,$A$7:$D$15,2,FALSE),VLOOKUP('INPUT_CP2'!E6,$A$7:$D$15,4,FALSE))</f>
      </c>
      <c r="C43">
        <f>IF('INPUT_CP2'!D9="A",1/VLOOKUP('INPUT_CP2'!E9,$A$7:$D$15,2,FALSE),VLOOKUP('INPUT_CP2'!E9,$A$7:$D$15,4,FALSE))</f>
      </c>
      <c r="D43">
        <v>1</v>
      </c>
      <c r="E43">
        <f>IF('INPUT_CP2'!D12="A",VLOOKUP('INPUT_CP2'!E12,$A$7:$D$15,4,FALSE),1/VLOOKUP('INPUT_CP2'!E12,$A$7:$D$15,2,FALSE))</f>
      </c>
      <c r="F43">
        <f>IF('INPUT_CP2'!D13="A",VLOOKUP('INPUT_CP2'!E13,$A$7:$D$15,4,FALSE),1/VLOOKUP('INPUT_CP2'!E13,$A$7:$D$15,2,FALSE))</f>
      </c>
      <c r="G43">
        <f>SUM(B43:F43)</f>
      </c>
    </row>
    <row r="44">
      <c r="A44" t="str">
        <v>FD4</v>
      </c>
      <c r="B44">
        <f>IF('INPUT_CP2'!D7="A",1/VLOOKUP('INPUT_CP2'!E7,$A$7:$D$15,2,FALSE),VLOOKUP('INPUT_CP2'!E7,$A$7:$D$15,4,FALSE))</f>
      </c>
      <c r="C44">
        <f>IF('INPUT_CP2'!D10="A",1/VLOOKUP('INPUT_CP2'!E10,$A$7:$D$15,2,FALSE),VLOOKUP('INPUT_CP2'!E10,$A$7:$D$15,4,FALSE))</f>
      </c>
      <c r="D44">
        <f>IF('INPUT_CP2'!D12="A",1/VLOOKUP('INPUT_CP2'!E12,$A$7:$D$15,2,FALSE),VLOOKUP('INPUT_CP2'!E12,$A$7:$D$15,4,FALSE))</f>
      </c>
      <c r="E44">
        <v>1</v>
      </c>
      <c r="F44">
        <f>IF('INPUT_CP2'!D14="A",VLOOKUP('INPUT_CP2'!E14,$A$7:$D$15,4,FALSE),1/VLOOKUP('INPUT_CP2'!E14,$A$7:$D$15,2,FALSE))</f>
      </c>
      <c r="G44">
        <f>SUM(B44:F44)</f>
      </c>
    </row>
    <row r="45">
      <c r="A45" t="str">
        <v>FD5</v>
      </c>
      <c r="B45">
        <f>IF('INPUT_CP2'!D8="A",1/VLOOKUP('INPUT_CP2'!E8,$A$7:$D$15,2,FALSE),VLOOKUP('INPUT_CP2'!E8,$A$7:$D$15,4,FALSE))</f>
      </c>
      <c r="C45">
        <f>IF('INPUT_CP2'!D11="A",1/VLOOKUP('INPUT_CP2'!E11,$A$7:$D$15,2,FALSE),VLOOKUP('INPUT_CP2'!E11,$A$7:$D$15,4,FALSE))</f>
      </c>
      <c r="D45">
        <f>IF('INPUT_CP2'!D13="A",1/VLOOKUP('INPUT_CP2'!E13,$A$7:$D$15,2,FALSE),VLOOKUP('INPUT_CP2'!E13,$A$7:$D$15,4,FALSE))</f>
      </c>
      <c r="E45">
        <f>IF('INPUT_CP2'!D14="A",1/VLOOKUP('INPUT_CP2'!E14,$A$7:$D$15,2,FALSE),VLOOKUP('INPUT_CP2'!E14,$A$7:$D$15,4,FALSE))</f>
      </c>
      <c r="F45">
        <v>1</v>
      </c>
      <c r="G45">
        <f>SUM(B45:F45)</f>
      </c>
    </row>
    <row r="46">
      <c r="A46" t="str">
        <v>TOTAL</v>
      </c>
      <c r="G46">
        <f>SUM(G42:G46)</f>
      </c>
    </row>
  </sheetData>
  <ignoredErrors>
    <ignoredError numberStoredAsText="1" sqref="A1:I4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CP2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FD1</v>
      </c>
      <c r="B7">
        <f>'FUZZY_CP2'!G21</f>
      </c>
      <c r="C7">
        <f>'FUZZY_CP2'!G32</f>
      </c>
      <c r="D7">
        <f>'FUZZY_CP2'!G42</f>
      </c>
      <c r="E7">
        <f>'FUZZY_CP2'!G26</f>
      </c>
      <c r="F7">
        <f>'FUZZY_CP2'!G36</f>
      </c>
      <c r="G7">
        <f>'FUZZY_CP2'!G46</f>
      </c>
      <c r="H7">
        <f>B7*(1/G7)</f>
      </c>
      <c r="I7">
        <f>C7*(1/F7)</f>
      </c>
      <c r="J7">
        <f>D7*(1/E7)</f>
      </c>
    </row>
    <row r="8">
      <c r="A8" t="str">
        <v>FD2</v>
      </c>
      <c r="B8">
        <f>'FUZZY_CP2'!G22</f>
      </c>
      <c r="C8">
        <f>'FUZZY_CP2'!G33</f>
      </c>
      <c r="D8">
        <f>'FUZZY_CP2'!G43</f>
      </c>
      <c r="E8">
        <f>'FUZZY_CP2'!G26</f>
      </c>
      <c r="F8">
        <f>'FUZZY_CP2'!G36</f>
      </c>
      <c r="G8">
        <f>'FUZZY_CP2'!G46</f>
      </c>
      <c r="H8">
        <f>B8*(1/G8)</f>
      </c>
      <c r="I8">
        <f>C8*(1/F8)</f>
      </c>
      <c r="J8">
        <f>D8*(1/E8)</f>
      </c>
    </row>
    <row r="9">
      <c r="A9" t="str">
        <v>FD3</v>
      </c>
      <c r="B9">
        <f>'FUZZY_CP2'!G23</f>
      </c>
      <c r="C9">
        <f>'FUZZY_CP2'!G34</f>
      </c>
      <c r="D9">
        <f>'FUZZY_CP2'!G44</f>
      </c>
      <c r="E9">
        <f>'FUZZY_CP2'!G26</f>
      </c>
      <c r="F9">
        <f>'FUZZY_CP2'!G36</f>
      </c>
      <c r="G9">
        <f>'FUZZY_CP2'!G46</f>
      </c>
      <c r="H9">
        <f>B9*(1/G9)</f>
      </c>
      <c r="I9">
        <f>C9*(1/F9)</f>
      </c>
      <c r="J9">
        <f>D9*(1/E9)</f>
      </c>
    </row>
    <row r="10">
      <c r="A10" t="str">
        <v>FD4</v>
      </c>
      <c r="B10">
        <f>'FUZZY_CP2'!G24</f>
      </c>
      <c r="C10">
        <f>'FUZZY_CP2'!G35</f>
      </c>
      <c r="D10">
        <f>'FUZZY_CP2'!G45</f>
      </c>
      <c r="E10">
        <f>'FUZZY_CP2'!G26</f>
      </c>
      <c r="F10">
        <f>'FUZZY_CP2'!G36</f>
      </c>
      <c r="G10">
        <f>'FUZZY_CP2'!G46</f>
      </c>
      <c r="H10">
        <f>B10*(1/G10)</f>
      </c>
      <c r="I10">
        <f>C10*(1/F10)</f>
      </c>
      <c r="J10">
        <f>D10*(1/E10)</f>
      </c>
    </row>
    <row r="11">
      <c r="A11" t="str">
        <v>FD5</v>
      </c>
      <c r="B11">
        <f>'FUZZY_CP2'!G25</f>
      </c>
      <c r="C11">
        <f>'FUZZY_CP2'!G36</f>
      </c>
      <c r="D11">
        <f>'FUZZY_CP2'!G46</f>
      </c>
      <c r="E11">
        <f>'FUZZY_CP2'!G26</f>
      </c>
      <c r="F11">
        <f>'FUZZY_CP2'!G36</f>
      </c>
      <c r="G11">
        <f>'FUZZY_CP2'!G46</f>
      </c>
      <c r="H11">
        <f>B11*(1/G11)</f>
      </c>
      <c r="I11">
        <f>C11*(1/F11)</f>
      </c>
      <c r="J11">
        <f>D11*(1/E11)</f>
      </c>
    </row>
    <row r="14">
      <c r="A14" t="str">
        <v>LANGKAH 2: Defuzzifikasi (Center of Area) + Normalisasi</v>
      </c>
    </row>
    <row r="15">
      <c r="A15" t="str">
        <v>Kriteria</v>
      </c>
      <c r="B15" t="str">
        <v>Si_l</v>
      </c>
      <c r="C15" t="str">
        <v>Si_m</v>
      </c>
      <c r="D15" t="str">
        <v>Si_u</v>
      </c>
      <c r="E15" t="str">
        <v>Defuzzy = (l+m+u)/3</v>
      </c>
      <c r="F15" t="str">
        <v>Bobot Normal</v>
      </c>
      <c r="G15" t="str">
        <v>Bobot %</v>
      </c>
      <c r="H15" t="str">
        <v>Ranking</v>
      </c>
    </row>
    <row r="16">
      <c r="A16" t="str">
        <v>FD1</v>
      </c>
      <c r="B16">
        <f>H7</f>
      </c>
      <c r="C16">
        <f>I7</f>
      </c>
      <c r="D16">
        <f>J7</f>
      </c>
      <c r="E16">
        <f>(B16+C16+D16)/3</f>
      </c>
      <c r="F16">
        <f>E16/E21</f>
      </c>
      <c r="G16">
        <f>F16*100</f>
      </c>
      <c r="H16">
        <f>RANK(F16,F$16:F$20,0)</f>
      </c>
    </row>
    <row r="17">
      <c r="A17" t="str">
        <v>FD2</v>
      </c>
      <c r="B17">
        <f>H8</f>
      </c>
      <c r="C17">
        <f>I8</f>
      </c>
      <c r="D17">
        <f>J8</f>
      </c>
      <c r="E17">
        <f>(B17+C17+D17)/3</f>
      </c>
      <c r="F17">
        <f>E17/E21</f>
      </c>
      <c r="G17">
        <f>F17*100</f>
      </c>
      <c r="H17">
        <f>RANK(F17,F$16:F$20,0)</f>
      </c>
    </row>
    <row r="18">
      <c r="A18" t="str">
        <v>FD3</v>
      </c>
      <c r="B18">
        <f>H9</f>
      </c>
      <c r="C18">
        <f>I9</f>
      </c>
      <c r="D18">
        <f>J9</f>
      </c>
      <c r="E18">
        <f>(B18+C18+D18)/3</f>
      </c>
      <c r="F18">
        <f>E18/E21</f>
      </c>
      <c r="G18">
        <f>F18*100</f>
      </c>
      <c r="H18">
        <f>RANK(F18,F$16:F$20,0)</f>
      </c>
    </row>
    <row r="19">
      <c r="A19" t="str">
        <v>FD4</v>
      </c>
      <c r="B19">
        <f>H10</f>
      </c>
      <c r="C19">
        <f>I10</f>
      </c>
      <c r="D19">
        <f>J10</f>
      </c>
      <c r="E19">
        <f>(B19+C19+D19)/3</f>
      </c>
      <c r="F19">
        <f>E19/E21</f>
      </c>
      <c r="G19">
        <f>F19*100</f>
      </c>
      <c r="H19">
        <f>RANK(F19,F$16:F$20,0)</f>
      </c>
    </row>
    <row r="20">
      <c r="A20" t="str">
        <v>FD5</v>
      </c>
      <c r="B20">
        <f>H11</f>
      </c>
      <c r="C20">
        <f>I11</f>
      </c>
      <c r="D20">
        <f>J11</f>
      </c>
      <c r="E20">
        <f>(B20+C20+D20)/3</f>
      </c>
      <c r="F20">
        <f>E20/E21</f>
      </c>
      <c r="G20">
        <f>F20*100</f>
      </c>
      <c r="H20">
        <f>RANK(F20,F$16:F$20,0)</f>
      </c>
    </row>
    <row r="21">
      <c r="D21" t="str">
        <v>TOTAL</v>
      </c>
      <c r="E21">
        <f>SUM(E16:E20)</f>
      </c>
    </row>
  </sheetData>
  <ignoredErrors>
    <ignoredError numberStoredAsText="1" sqref="A1:K2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CP3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T1</v>
      </c>
      <c r="C5" t="str">
        <v>T2</v>
      </c>
      <c r="D5" t="str">
        <v>A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T1</v>
      </c>
      <c r="C6" t="str">
        <v>T3</v>
      </c>
      <c r="D6" t="str">
        <v>A</v>
      </c>
      <c r="E6">
        <v>1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T1</v>
      </c>
      <c r="C7" t="str">
        <v>T4</v>
      </c>
      <c r="D7" t="str">
        <v>A</v>
      </c>
      <c r="E7">
        <v>1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T1</v>
      </c>
      <c r="C8" t="str">
        <v>T5</v>
      </c>
      <c r="D8" t="str">
        <v>A</v>
      </c>
      <c r="E8">
        <v>1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T2</v>
      </c>
      <c r="C9" t="str">
        <v>T3</v>
      </c>
      <c r="D9" t="str">
        <v>A</v>
      </c>
      <c r="E9">
        <v>2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T2</v>
      </c>
      <c r="C10" t="str">
        <v>T4</v>
      </c>
      <c r="D10" t="str">
        <v>A</v>
      </c>
      <c r="E10">
        <v>1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T2</v>
      </c>
      <c r="C11" t="str">
        <v>T5</v>
      </c>
      <c r="D11" t="str">
        <v>A</v>
      </c>
      <c r="E11">
        <v>2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T3</v>
      </c>
      <c r="C12" t="str">
        <v>T4</v>
      </c>
      <c r="D12" t="str">
        <v>B</v>
      </c>
      <c r="E12">
        <v>2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T3</v>
      </c>
      <c r="C13" t="str">
        <v>T5</v>
      </c>
      <c r="D13" t="str">
        <v>A</v>
      </c>
      <c r="E13">
        <v>1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T4</v>
      </c>
      <c r="C14" t="str">
        <v>T5</v>
      </c>
      <c r="D14" t="str">
        <v>A</v>
      </c>
      <c r="E14">
        <v>2</v>
      </c>
      <c r="F14">
        <f>IF(E14=1,"Sama Penting",IF(E14=3,"Sedikit Lebih Penting",IF(E14=5,"Lebih Penting",IF(E14=7,"Sangat Lebih Penting",IF(E14=9,"Mutlak Lebih Penting","Nilai Antara")))))</f>
      </c>
    </row>
    <row r="17">
      <c r="A17" t="str">
        <v>Tabel Random Index (RI) — Saaty</v>
      </c>
    </row>
    <row r="18">
      <c r="A18" t="str">
        <v>n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</row>
    <row r="19">
      <c r="A19" t="str">
        <v>RI</v>
      </c>
      <c r="B19">
        <v>0</v>
      </c>
      <c r="C19">
        <v>0</v>
      </c>
      <c r="D19">
        <v>0.58</v>
      </c>
      <c r="E19">
        <v>0.9</v>
      </c>
      <c r="F19">
        <v>1.12</v>
      </c>
      <c r="G19">
        <v>1.24</v>
      </c>
      <c r="H19">
        <v>1.32</v>
      </c>
      <c r="I19">
        <v>1.41</v>
      </c>
      <c r="J19">
        <v>1.45</v>
      </c>
      <c r="K19">
        <v>1.49</v>
      </c>
    </row>
    <row r="21">
      <c r="A21" t="str">
        <v>Skala Saaty → TFN (Triangular Fuzzy Number)</v>
      </c>
    </row>
    <row r="22">
      <c r="A22" t="str">
        <v>Skala</v>
      </c>
      <c r="B22" t="str">
        <v>l</v>
      </c>
      <c r="C22" t="str">
        <v>m</v>
      </c>
      <c r="D22" t="str">
        <v>u</v>
      </c>
    </row>
    <row r="23">
      <c r="A23">
        <v>1</v>
      </c>
      <c r="B23">
        <v>1</v>
      </c>
      <c r="C23">
        <v>1</v>
      </c>
      <c r="D23">
        <v>1</v>
      </c>
    </row>
    <row r="24">
      <c r="A24">
        <v>2</v>
      </c>
      <c r="B24">
        <v>1</v>
      </c>
      <c r="C24">
        <v>2</v>
      </c>
      <c r="D24">
        <v>3</v>
      </c>
    </row>
    <row r="25">
      <c r="A25">
        <v>3</v>
      </c>
      <c r="B25">
        <v>1</v>
      </c>
      <c r="C25">
        <v>3</v>
      </c>
      <c r="D25">
        <v>5</v>
      </c>
    </row>
    <row r="26">
      <c r="A26">
        <v>4</v>
      </c>
      <c r="B26">
        <v>3</v>
      </c>
      <c r="C26">
        <v>4</v>
      </c>
      <c r="D26">
        <v>5</v>
      </c>
    </row>
    <row r="27">
      <c r="A27">
        <v>5</v>
      </c>
      <c r="B27">
        <v>3</v>
      </c>
      <c r="C27">
        <v>5</v>
      </c>
      <c r="D27">
        <v>7</v>
      </c>
    </row>
    <row r="28">
      <c r="A28">
        <v>6</v>
      </c>
      <c r="B28">
        <v>5</v>
      </c>
      <c r="C28">
        <v>6</v>
      </c>
      <c r="D28">
        <v>7</v>
      </c>
    </row>
    <row r="29">
      <c r="A29">
        <v>7</v>
      </c>
      <c r="B29">
        <v>5</v>
      </c>
      <c r="C29">
        <v>7</v>
      </c>
      <c r="D29">
        <v>9</v>
      </c>
    </row>
    <row r="30">
      <c r="A30">
        <v>8</v>
      </c>
      <c r="B30">
        <v>7</v>
      </c>
      <c r="C30">
        <v>8</v>
      </c>
      <c r="D30">
        <v>9</v>
      </c>
    </row>
    <row r="31">
      <c r="A31">
        <v>9</v>
      </c>
      <c r="B31">
        <v>7</v>
      </c>
      <c r="C31">
        <v>9</v>
      </c>
      <c r="D31">
        <v>9</v>
      </c>
    </row>
  </sheetData>
  <ignoredErrors>
    <ignoredError numberStoredAsText="1" sqref="A1:K3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MATRIKS PERBANDINGAN BERPASANGAN — Level 2 — Sub-Kriteria CP3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T1</v>
      </c>
      <c r="C5" t="str">
        <v>T2</v>
      </c>
      <c r="D5" t="str">
        <v>T3</v>
      </c>
      <c r="E5" t="str">
        <v>T4</v>
      </c>
      <c r="F5" t="str">
        <v>T5</v>
      </c>
    </row>
    <row r="6">
      <c r="A6" t="str">
        <v>T1</v>
      </c>
      <c r="B6">
        <v>1</v>
      </c>
      <c r="C6">
        <f>IF('INPUT_CP3'!D5="A",'INPUT_CP3'!E5,1/'INPUT_CP3'!E5)</f>
      </c>
      <c r="D6">
        <f>IF('INPUT_CP3'!D6="A",'INPUT_CP3'!E6,1/'INPUT_CP3'!E6)</f>
      </c>
      <c r="E6">
        <f>IF('INPUT_CP3'!D7="A",'INPUT_CP3'!E7,1/'INPUT_CP3'!E7)</f>
      </c>
      <c r="F6">
        <f>IF('INPUT_CP3'!D8="A",'INPUT_CP3'!E8,1/'INPUT_CP3'!E8)</f>
      </c>
    </row>
    <row r="7">
      <c r="A7" t="str">
        <v>T2</v>
      </c>
      <c r="B7">
        <f>1/C6</f>
      </c>
      <c r="C7">
        <v>1</v>
      </c>
      <c r="D7">
        <f>IF('INPUT_CP3'!D9="A",'INPUT_CP3'!E9,1/'INPUT_CP3'!E9)</f>
      </c>
      <c r="E7">
        <f>IF('INPUT_CP3'!D10="A",'INPUT_CP3'!E10,1/'INPUT_CP3'!E10)</f>
      </c>
      <c r="F7">
        <f>IF('INPUT_CP3'!D11="A",'INPUT_CP3'!E11,1/'INPUT_CP3'!E11)</f>
      </c>
    </row>
    <row r="8">
      <c r="A8" t="str">
        <v>T3</v>
      </c>
      <c r="B8">
        <f>1/D6</f>
      </c>
      <c r="C8">
        <f>1/D7</f>
      </c>
      <c r="D8">
        <v>1</v>
      </c>
      <c r="E8">
        <f>IF('INPUT_CP3'!D12="A",'INPUT_CP3'!E12,1/'INPUT_CP3'!E12)</f>
      </c>
      <c r="F8">
        <f>IF('INPUT_CP3'!D13="A",'INPUT_CP3'!E13,1/'INPUT_CP3'!E13)</f>
      </c>
    </row>
    <row r="9">
      <c r="A9" t="str">
        <v>T4</v>
      </c>
      <c r="B9">
        <f>1/E6</f>
      </c>
      <c r="C9">
        <f>1/E7</f>
      </c>
      <c r="D9">
        <f>1/E8</f>
      </c>
      <c r="E9">
        <v>1</v>
      </c>
      <c r="F9">
        <f>IF('INPUT_CP3'!D14="A",'INPUT_CP3'!E14,1/'INPUT_CP3'!E14)</f>
      </c>
    </row>
    <row r="10">
      <c r="A10" t="str">
        <v>T5</v>
      </c>
      <c r="B10">
        <f>1/F6</f>
      </c>
      <c r="C10">
        <f>1/F7</f>
      </c>
      <c r="D10">
        <f>1/F8</f>
      </c>
      <c r="E10">
        <f>1/F9</f>
      </c>
      <c r="F10">
        <v>1</v>
      </c>
    </row>
    <row r="12">
      <c r="A12" t="str">
        <v>Jumlah Kolom</v>
      </c>
      <c r="B12">
        <f>SUM(B7:B11)</f>
      </c>
      <c r="C12">
        <f>SUM(C7:C11)</f>
      </c>
      <c r="D12">
        <f>SUM(D7:D11)</f>
      </c>
      <c r="E12">
        <f>SUM(E7:E11)</f>
      </c>
      <c r="F12">
        <f>SUM(F7:F11)</f>
      </c>
    </row>
  </sheetData>
  <ignoredErrors>
    <ignoredError numberStoredAsText="1" sqref="A1:G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8.83203125" customWidth="1"/>
  </cols>
  <sheetData>
    <row r="1">
      <c r="A1" t="str">
        <v>NORMALISASI &amp; BOBOT PRIORITAS — Level 2 — Sub-Kriteria CP3</v>
      </c>
    </row>
    <row r="2">
      <c r="A2" t="str">
        <v>Normalisasi kolom: setiap sel dibagi jumlah kolomnya</v>
      </c>
    </row>
    <row r="4">
      <c r="A4" t="str">
        <v/>
      </c>
      <c r="B4" t="str">
        <v>T1</v>
      </c>
      <c r="C4" t="str">
        <v>T2</v>
      </c>
      <c r="D4" t="str">
        <v>T3</v>
      </c>
      <c r="E4" t="str">
        <v>T4</v>
      </c>
      <c r="F4" t="str">
        <v>T5</v>
      </c>
      <c r="G4" t="str">
        <v>Rata-rata (Bobot)</v>
      </c>
    </row>
    <row r="5">
      <c r="A5" t="str">
        <v>T1</v>
      </c>
      <c r="B5">
        <f>'MATRIKS_CP3'!B6/'MATRIKS_CP3'!B12</f>
      </c>
      <c r="C5">
        <f>'MATRIKS_CP3'!C6/'MATRIKS_CP3'!C12</f>
      </c>
      <c r="D5">
        <f>'MATRIKS_CP3'!D6/'MATRIKS_CP3'!D12</f>
      </c>
      <c r="E5">
        <f>'MATRIKS_CP3'!E6/'MATRIKS_CP3'!E12</f>
      </c>
      <c r="F5">
        <f>'MATRIKS_CP3'!F6/'MATRIKS_CP3'!F12</f>
      </c>
      <c r="G5">
        <f>AVERAGE(B5:F5)</f>
      </c>
    </row>
    <row r="6">
      <c r="A6" t="str">
        <v>T2</v>
      </c>
      <c r="B6">
        <f>'MATRIKS_CP3'!B7/'MATRIKS_CP3'!B12</f>
      </c>
      <c r="C6">
        <f>'MATRIKS_CP3'!C7/'MATRIKS_CP3'!C12</f>
      </c>
      <c r="D6">
        <f>'MATRIKS_CP3'!D7/'MATRIKS_CP3'!D12</f>
      </c>
      <c r="E6">
        <f>'MATRIKS_CP3'!E7/'MATRIKS_CP3'!E12</f>
      </c>
      <c r="F6">
        <f>'MATRIKS_CP3'!F7/'MATRIKS_CP3'!F12</f>
      </c>
      <c r="G6">
        <f>AVERAGE(B6:F6)</f>
      </c>
    </row>
    <row r="7">
      <c r="A7" t="str">
        <v>T3</v>
      </c>
      <c r="B7">
        <f>'MATRIKS_CP3'!B8/'MATRIKS_CP3'!B12</f>
      </c>
      <c r="C7">
        <f>'MATRIKS_CP3'!C8/'MATRIKS_CP3'!C12</f>
      </c>
      <c r="D7">
        <f>'MATRIKS_CP3'!D8/'MATRIKS_CP3'!D12</f>
      </c>
      <c r="E7">
        <f>'MATRIKS_CP3'!E8/'MATRIKS_CP3'!E12</f>
      </c>
      <c r="F7">
        <f>'MATRIKS_CP3'!F8/'MATRIKS_CP3'!F12</f>
      </c>
      <c r="G7">
        <f>AVERAGE(B7:F7)</f>
      </c>
    </row>
    <row r="8">
      <c r="A8" t="str">
        <v>T4</v>
      </c>
      <c r="B8">
        <f>'MATRIKS_CP3'!B9/'MATRIKS_CP3'!B12</f>
      </c>
      <c r="C8">
        <f>'MATRIKS_CP3'!C9/'MATRIKS_CP3'!C12</f>
      </c>
      <c r="D8">
        <f>'MATRIKS_CP3'!D9/'MATRIKS_CP3'!D12</f>
      </c>
      <c r="E8">
        <f>'MATRIKS_CP3'!E9/'MATRIKS_CP3'!E12</f>
      </c>
      <c r="F8">
        <f>'MATRIKS_CP3'!F9/'MATRIKS_CP3'!F12</f>
      </c>
      <c r="G8">
        <f>AVERAGE(B8:F8)</f>
      </c>
    </row>
    <row r="9">
      <c r="A9" t="str">
        <v>T5</v>
      </c>
      <c r="B9">
        <f>'MATRIKS_CP3'!B10/'MATRIKS_CP3'!B12</f>
      </c>
      <c r="C9">
        <f>'MATRIKS_CP3'!C10/'MATRIKS_CP3'!C12</f>
      </c>
      <c r="D9">
        <f>'MATRIKS_CP3'!D10/'MATRIKS_CP3'!D12</f>
      </c>
      <c r="E9">
        <f>'MATRIKS_CP3'!E10/'MATRIKS_CP3'!E12</f>
      </c>
      <c r="F9">
        <f>'MATRIKS_CP3'!F10/'MATRIKS_CP3'!F12</f>
      </c>
      <c r="G9">
        <f>AVERAGE(B9:F9)</f>
      </c>
    </row>
    <row r="11">
      <c r="F11" t="str">
        <v>Total</v>
      </c>
      <c r="G11">
        <f>SUM(G5:G9)</f>
      </c>
    </row>
  </sheetData>
  <ignoredErrors>
    <ignoredError numberStoredAsText="1" sqref="A1:H1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CP3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T1</v>
      </c>
      <c r="B6">
        <f>'NORM_CP3'!G5</f>
      </c>
      <c r="C6">
        <f>SUMPRODUCT('MATRIKS_CP3'!B6:'MATRIKS_CP3'!F6,$B6:$B10)</f>
      </c>
      <c r="D6">
        <f>C6/B6</f>
      </c>
    </row>
    <row r="7">
      <c r="A7" t="str">
        <v>T2</v>
      </c>
      <c r="B7">
        <f>'NORM_CP3'!G6</f>
      </c>
      <c r="C7">
        <f>SUMPRODUCT('MATRIKS_CP3'!B7:'MATRIKS_CP3'!F7,$B6:$B10)</f>
      </c>
      <c r="D7">
        <f>C7/B7</f>
      </c>
    </row>
    <row r="8">
      <c r="A8" t="str">
        <v>T3</v>
      </c>
      <c r="B8">
        <f>'NORM_CP3'!G7</f>
      </c>
      <c r="C8">
        <f>SUMPRODUCT('MATRIKS_CP3'!B8:'MATRIKS_CP3'!F8,$B6:$B10)</f>
      </c>
      <c r="D8">
        <f>C8/B8</f>
      </c>
    </row>
    <row r="9">
      <c r="A9" t="str">
        <v>T4</v>
      </c>
      <c r="B9">
        <f>'NORM_CP3'!G8</f>
      </c>
      <c r="C9">
        <f>SUMPRODUCT('MATRIKS_CP3'!B9:'MATRIKS_CP3'!F9,$B6:$B10)</f>
      </c>
      <c r="D9">
        <f>C9/B9</f>
      </c>
    </row>
    <row r="10">
      <c r="A10" t="str">
        <v>T5</v>
      </c>
      <c r="B10">
        <f>'NORM_CP3'!G9</f>
      </c>
      <c r="C10">
        <f>SUMPRODUCT('MATRIKS_CP3'!B10:'MATRIKS_CP3'!F10,$B6:$B10)</f>
      </c>
      <c r="D10">
        <f>C10/B10</f>
      </c>
    </row>
    <row r="13">
      <c r="A13" t="str">
        <v>LANGKAH 2: Perhitungan λmax, CI, CR</v>
      </c>
    </row>
    <row r="14">
      <c r="A14" t="str">
        <v>n (jumlah kriteria)</v>
      </c>
      <c r="B14">
        <v>5</v>
      </c>
    </row>
    <row r="15">
      <c r="A15" t="str">
        <v>λmax</v>
      </c>
      <c r="B15">
        <f>AVERAGE(D6:D10)</f>
      </c>
    </row>
    <row r="16">
      <c r="A16" t="str">
        <v>CI (Consistency Index)</v>
      </c>
      <c r="B16">
        <f>(B15-B14)/(B14-1)</f>
      </c>
    </row>
    <row r="17">
      <c r="A17" t="str">
        <v>RI (Random Index)</v>
      </c>
      <c r="B17">
        <v>1.12</v>
      </c>
    </row>
    <row r="18">
      <c r="A18" t="str">
        <v>CR (Consistency Ratio)</v>
      </c>
      <c r="B18">
        <f>B16/B17</f>
      </c>
    </row>
    <row r="20">
      <c r="A20" t="str">
        <v>KESIMPULAN</v>
      </c>
      <c r="B20">
        <f>IF(B18&lt;0.1,"KONSISTEN ✓ (CR &lt; 0.10)","TIDAK KONSISTEN ✗ (CR ≥ 0.10, perlu revisi)")</f>
      </c>
    </row>
    <row r="22">
      <c r="A22" t="str">
        <v>Catatan:</v>
      </c>
    </row>
    <row r="23">
      <c r="A23" t="str">
        <v>• CR &lt; 0.10 → Matriks dianggap konsisten</v>
      </c>
    </row>
    <row r="24">
      <c r="A24" t="str">
        <v>• CR ≥ 0.10 → Matriks TIDAK konsisten, perlu revisi penilaian</v>
      </c>
    </row>
    <row r="25">
      <c r="A25" t="str">
        <v>• λmax ideal ≈ n (jumlah kriteria)</v>
      </c>
    </row>
  </sheetData>
  <ignoredErrors>
    <ignoredError numberStoredAsText="1" sqref="A1:E2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MATRIKS TFN FUZZY — Level 2 — Sub-Kriteria CP3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T1</v>
      </c>
      <c r="C19" t="str">
        <v>T2</v>
      </c>
      <c r="D19" t="str">
        <v>T3</v>
      </c>
      <c r="E19" t="str">
        <v>T4</v>
      </c>
      <c r="F19" t="str">
        <v>T5</v>
      </c>
    </row>
    <row r="20">
      <c r="A20" t="str">
        <v>T1</v>
      </c>
      <c r="B20">
        <v>1</v>
      </c>
      <c r="C20">
        <f>IF('INPUT_CP3'!D5="A",VLOOKUP('INPUT_CP3'!E5,$A$7:$D$15,2,FALSE),1/VLOOKUP('INPUT_CP3'!E5,$A$7:$D$15,4,FALSE))</f>
      </c>
      <c r="D20">
        <f>IF('INPUT_CP3'!D6="A",VLOOKUP('INPUT_CP3'!E6,$A$7:$D$15,2,FALSE),1/VLOOKUP('INPUT_CP3'!E6,$A$7:$D$15,4,FALSE))</f>
      </c>
      <c r="E20">
        <f>IF('INPUT_CP3'!D7="A",VLOOKUP('INPUT_CP3'!E7,$A$7:$D$15,2,FALSE),1/VLOOKUP('INPUT_CP3'!E7,$A$7:$D$15,4,FALSE))</f>
      </c>
      <c r="F20">
        <f>IF('INPUT_CP3'!D8="A",VLOOKUP('INPUT_CP3'!E8,$A$7:$D$15,2,FALSE),1/VLOOKUP('INPUT_CP3'!E8,$A$7:$D$15,4,FALSE))</f>
      </c>
      <c r="G20" t="str">
        <v>Σ Baris</v>
      </c>
    </row>
    <row r="21">
      <c r="A21" t="str">
        <v>T2</v>
      </c>
      <c r="B21">
        <f>IF('INPUT_CP3'!D5="A",1/VLOOKUP('INPUT_CP3'!E5,$A$7:$D$15,4,FALSE),VLOOKUP('INPUT_CP3'!E5,$A$7:$D$15,2,FALSE))</f>
      </c>
      <c r="C21">
        <v>1</v>
      </c>
      <c r="D21">
        <f>IF('INPUT_CP3'!D9="A",VLOOKUP('INPUT_CP3'!E9,$A$7:$D$15,2,FALSE),1/VLOOKUP('INPUT_CP3'!E9,$A$7:$D$15,4,FALSE))</f>
      </c>
      <c r="E21">
        <f>IF('INPUT_CP3'!D10="A",VLOOKUP('INPUT_CP3'!E10,$A$7:$D$15,2,FALSE),1/VLOOKUP('INPUT_CP3'!E10,$A$7:$D$15,4,FALSE))</f>
      </c>
      <c r="F21">
        <f>IF('INPUT_CP3'!D11="A",VLOOKUP('INPUT_CP3'!E11,$A$7:$D$15,2,FALSE),1/VLOOKUP('INPUT_CP3'!E11,$A$7:$D$15,4,FALSE))</f>
      </c>
      <c r="G21">
        <f>SUM(B21:F21)</f>
      </c>
    </row>
    <row r="22">
      <c r="A22" t="str">
        <v>T3</v>
      </c>
      <c r="B22">
        <f>IF('INPUT_CP3'!D6="A",1/VLOOKUP('INPUT_CP3'!E6,$A$7:$D$15,4,FALSE),VLOOKUP('INPUT_CP3'!E6,$A$7:$D$15,2,FALSE))</f>
      </c>
      <c r="C22">
        <f>IF('INPUT_CP3'!D9="A",1/VLOOKUP('INPUT_CP3'!E9,$A$7:$D$15,4,FALSE),VLOOKUP('INPUT_CP3'!E9,$A$7:$D$15,2,FALSE))</f>
      </c>
      <c r="D22">
        <v>1</v>
      </c>
      <c r="E22">
        <f>IF('INPUT_CP3'!D12="A",VLOOKUP('INPUT_CP3'!E12,$A$7:$D$15,2,FALSE),1/VLOOKUP('INPUT_CP3'!E12,$A$7:$D$15,4,FALSE))</f>
      </c>
      <c r="F22">
        <f>IF('INPUT_CP3'!D13="A",VLOOKUP('INPUT_CP3'!E13,$A$7:$D$15,2,FALSE),1/VLOOKUP('INPUT_CP3'!E13,$A$7:$D$15,4,FALSE))</f>
      </c>
      <c r="G22">
        <f>SUM(B22:F22)</f>
      </c>
    </row>
    <row r="23">
      <c r="A23" t="str">
        <v>T4</v>
      </c>
      <c r="B23">
        <f>IF('INPUT_CP3'!D7="A",1/VLOOKUP('INPUT_CP3'!E7,$A$7:$D$15,4,FALSE),VLOOKUP('INPUT_CP3'!E7,$A$7:$D$15,2,FALSE))</f>
      </c>
      <c r="C23">
        <f>IF('INPUT_CP3'!D10="A",1/VLOOKUP('INPUT_CP3'!E10,$A$7:$D$15,4,FALSE),VLOOKUP('INPUT_CP3'!E10,$A$7:$D$15,2,FALSE))</f>
      </c>
      <c r="D23">
        <f>IF('INPUT_CP3'!D12="A",1/VLOOKUP('INPUT_CP3'!E12,$A$7:$D$15,4,FALSE),VLOOKUP('INPUT_CP3'!E12,$A$7:$D$15,2,FALSE))</f>
      </c>
      <c r="E23">
        <v>1</v>
      </c>
      <c r="F23">
        <f>IF('INPUT_CP3'!D14="A",VLOOKUP('INPUT_CP3'!E14,$A$7:$D$15,2,FALSE),1/VLOOKUP('INPUT_CP3'!E14,$A$7:$D$15,4,FALSE))</f>
      </c>
      <c r="G23">
        <f>SUM(B23:F23)</f>
      </c>
    </row>
    <row r="24">
      <c r="A24" t="str">
        <v>T5</v>
      </c>
      <c r="B24">
        <f>IF('INPUT_CP3'!D8="A",1/VLOOKUP('INPUT_CP3'!E8,$A$7:$D$15,4,FALSE),VLOOKUP('INPUT_CP3'!E8,$A$7:$D$15,2,FALSE))</f>
      </c>
      <c r="C24">
        <f>IF('INPUT_CP3'!D11="A",1/VLOOKUP('INPUT_CP3'!E11,$A$7:$D$15,4,FALSE),VLOOKUP('INPUT_CP3'!E11,$A$7:$D$15,2,FALSE))</f>
      </c>
      <c r="D24">
        <f>IF('INPUT_CP3'!D13="A",1/VLOOKUP('INPUT_CP3'!E13,$A$7:$D$15,4,FALSE),VLOOKUP('INPUT_CP3'!E13,$A$7:$D$15,2,FALSE))</f>
      </c>
      <c r="E24">
        <f>IF('INPUT_CP3'!D14="A",1/VLOOKUP('INPUT_CP3'!E14,$A$7:$D$15,4,FALSE),VLOOKUP('INPUT_CP3'!E14,$A$7:$D$15,2,FALSE))</f>
      </c>
      <c r="F24">
        <v>1</v>
      </c>
      <c r="G24">
        <f>SUM(B24:F24)</f>
      </c>
    </row>
    <row r="25">
      <c r="G25">
        <f>SUM(B25:F25)</f>
      </c>
    </row>
    <row r="26">
      <c r="A26" t="str">
        <v>TOTAL</v>
      </c>
      <c r="G26">
        <f>SUM(G21:G25)</f>
      </c>
    </row>
    <row r="27">
      <c r="G27">
        <f>SUM(B22:F22)</f>
      </c>
    </row>
    <row r="28">
      <c r="G28">
        <f>SUM(B23:F23)</f>
      </c>
    </row>
    <row r="29">
      <c r="A29" t="str">
        <v>MATRIKS TFN — Komponen m (Middle)</v>
      </c>
      <c r="G29">
        <f>SUM(B24:F24)</f>
      </c>
    </row>
    <row r="30">
      <c r="A30" t="str">
        <v/>
      </c>
      <c r="B30" t="str">
        <v>T1</v>
      </c>
      <c r="C30" t="str">
        <v>T2</v>
      </c>
      <c r="D30" t="str">
        <v>T3</v>
      </c>
      <c r="E30" t="str">
        <v>T4</v>
      </c>
      <c r="F30" t="str">
        <v>T5</v>
      </c>
      <c r="G30" t="str">
        <v>Σ Baris</v>
      </c>
    </row>
    <row r="31">
      <c r="A31" t="str">
        <v>T1</v>
      </c>
      <c r="B31">
        <v>1</v>
      </c>
      <c r="C31">
        <f>IF('INPUT_CP3'!D5="A",VLOOKUP('INPUT_CP3'!E5,$A$7:$D$15,3,FALSE),1/VLOOKUP('INPUT_CP3'!E5,$A$7:$D$15,3,FALSE))</f>
      </c>
      <c r="D31">
        <f>IF('INPUT_CP3'!D6="A",VLOOKUP('INPUT_CP3'!E6,$A$7:$D$15,3,FALSE),1/VLOOKUP('INPUT_CP3'!E6,$A$7:$D$15,3,FALSE))</f>
      </c>
      <c r="E31">
        <f>IF('INPUT_CP3'!D7="A",VLOOKUP('INPUT_CP3'!E7,$A$7:$D$15,3,FALSE),1/VLOOKUP('INPUT_CP3'!E7,$A$7:$D$15,3,FALSE))</f>
      </c>
      <c r="F31">
        <f>IF('INPUT_CP3'!D8="A",VLOOKUP('INPUT_CP3'!E8,$A$7:$D$15,3,FALSE),1/VLOOKUP('INPUT_CP3'!E8,$A$7:$D$15,3,FALSE))</f>
      </c>
      <c r="G31">
        <f>SUM(B31:F31)</f>
      </c>
    </row>
    <row r="32">
      <c r="A32" t="str">
        <v>T2</v>
      </c>
      <c r="B32">
        <f>IF('INPUT_CP3'!D5="A",1/VLOOKUP('INPUT_CP3'!E5,$A$7:$D$15,3,FALSE),VLOOKUP('INPUT_CP3'!E5,$A$7:$D$15,3,FALSE))</f>
      </c>
      <c r="C32">
        <v>1</v>
      </c>
      <c r="D32">
        <f>IF('INPUT_CP3'!D9="A",VLOOKUP('INPUT_CP3'!E9,$A$7:$D$15,3,FALSE),1/VLOOKUP('INPUT_CP3'!E9,$A$7:$D$15,3,FALSE))</f>
      </c>
      <c r="E32">
        <f>IF('INPUT_CP3'!D10="A",VLOOKUP('INPUT_CP3'!E10,$A$7:$D$15,3,FALSE),1/VLOOKUP('INPUT_CP3'!E10,$A$7:$D$15,3,FALSE))</f>
      </c>
      <c r="F32">
        <f>IF('INPUT_CP3'!D11="A",VLOOKUP('INPUT_CP3'!E11,$A$7:$D$15,3,FALSE),1/VLOOKUP('INPUT_CP3'!E11,$A$7:$D$15,3,FALSE))</f>
      </c>
      <c r="G32">
        <f>SUM(B32:F32)</f>
      </c>
    </row>
    <row r="33">
      <c r="A33" t="str">
        <v>T3</v>
      </c>
      <c r="B33">
        <f>IF('INPUT_CP3'!D6="A",1/VLOOKUP('INPUT_CP3'!E6,$A$7:$D$15,3,FALSE),VLOOKUP('INPUT_CP3'!E6,$A$7:$D$15,3,FALSE))</f>
      </c>
      <c r="C33">
        <f>IF('INPUT_CP3'!D9="A",1/VLOOKUP('INPUT_CP3'!E9,$A$7:$D$15,3,FALSE),VLOOKUP('INPUT_CP3'!E9,$A$7:$D$15,3,FALSE))</f>
      </c>
      <c r="D33">
        <v>1</v>
      </c>
      <c r="E33">
        <f>IF('INPUT_CP3'!D12="A",VLOOKUP('INPUT_CP3'!E12,$A$7:$D$15,3,FALSE),1/VLOOKUP('INPUT_CP3'!E12,$A$7:$D$15,3,FALSE))</f>
      </c>
      <c r="F33">
        <f>IF('INPUT_CP3'!D13="A",VLOOKUP('INPUT_CP3'!E13,$A$7:$D$15,3,FALSE),1/VLOOKUP('INPUT_CP3'!E13,$A$7:$D$15,3,FALSE))</f>
      </c>
      <c r="G33">
        <f>SUM(B33:F33)</f>
      </c>
    </row>
    <row r="34">
      <c r="A34" t="str">
        <v>T4</v>
      </c>
      <c r="B34">
        <f>IF('INPUT_CP3'!D7="A",1/VLOOKUP('INPUT_CP3'!E7,$A$7:$D$15,3,FALSE),VLOOKUP('INPUT_CP3'!E7,$A$7:$D$15,3,FALSE))</f>
      </c>
      <c r="C34">
        <f>IF('INPUT_CP3'!D10="A",1/VLOOKUP('INPUT_CP3'!E10,$A$7:$D$15,3,FALSE),VLOOKUP('INPUT_CP3'!E10,$A$7:$D$15,3,FALSE))</f>
      </c>
      <c r="D34">
        <f>IF('INPUT_CP3'!D12="A",1/VLOOKUP('INPUT_CP3'!E12,$A$7:$D$15,3,FALSE),VLOOKUP('INPUT_CP3'!E12,$A$7:$D$15,3,FALSE))</f>
      </c>
      <c r="E34">
        <v>1</v>
      </c>
      <c r="F34">
        <f>IF('INPUT_CP3'!D14="A",VLOOKUP('INPUT_CP3'!E14,$A$7:$D$15,3,FALSE),1/VLOOKUP('INPUT_CP3'!E14,$A$7:$D$15,3,FALSE))</f>
      </c>
      <c r="G34">
        <f>SUM(B34:F34)</f>
      </c>
    </row>
    <row r="35">
      <c r="A35" t="str">
        <v>T5</v>
      </c>
      <c r="B35">
        <f>IF('INPUT_CP3'!D8="A",1/VLOOKUP('INPUT_CP3'!E8,$A$7:$D$15,3,FALSE),VLOOKUP('INPUT_CP3'!E8,$A$7:$D$15,3,FALSE))</f>
      </c>
      <c r="C35">
        <f>IF('INPUT_CP3'!D11="A",1/VLOOKUP('INPUT_CP3'!E11,$A$7:$D$15,3,FALSE),VLOOKUP('INPUT_CP3'!E11,$A$7:$D$15,3,FALSE))</f>
      </c>
      <c r="D35">
        <f>IF('INPUT_CP3'!D13="A",1/VLOOKUP('INPUT_CP3'!E13,$A$7:$D$15,3,FALSE),VLOOKUP('INPUT_CP3'!E13,$A$7:$D$15,3,FALSE))</f>
      </c>
      <c r="E35">
        <f>IF('INPUT_CP3'!D14="A",1/VLOOKUP('INPUT_CP3'!E14,$A$7:$D$15,3,FALSE),VLOOKUP('INPUT_CP3'!E14,$A$7:$D$15,3,FALSE))</f>
      </c>
      <c r="F35">
        <v>1</v>
      </c>
      <c r="G35">
        <f>SUM(B35:F35)</f>
      </c>
    </row>
    <row r="36">
      <c r="A36" t="str">
        <v>TOTAL</v>
      </c>
      <c r="G36">
        <f>SUM(G32:G36)</f>
      </c>
    </row>
    <row r="39">
      <c r="A39" t="str">
        <v>MATRIKS TFN — Komponen u (Upper)</v>
      </c>
    </row>
    <row r="40">
      <c r="A40" t="str">
        <v/>
      </c>
      <c r="B40" t="str">
        <v>T1</v>
      </c>
      <c r="C40" t="str">
        <v>T2</v>
      </c>
      <c r="D40" t="str">
        <v>T3</v>
      </c>
      <c r="E40" t="str">
        <v>T4</v>
      </c>
      <c r="F40" t="str">
        <v>T5</v>
      </c>
      <c r="G40" t="str">
        <v>Σ Baris</v>
      </c>
    </row>
    <row r="41">
      <c r="A41" t="str">
        <v>T1</v>
      </c>
      <c r="B41">
        <v>1</v>
      </c>
      <c r="C41">
        <f>IF('INPUT_CP3'!D5="A",VLOOKUP('INPUT_CP3'!E5,$A$7:$D$15,4,FALSE),1/VLOOKUP('INPUT_CP3'!E5,$A$7:$D$15,2,FALSE))</f>
      </c>
      <c r="D41">
        <f>IF('INPUT_CP3'!D6="A",VLOOKUP('INPUT_CP3'!E6,$A$7:$D$15,4,FALSE),1/VLOOKUP('INPUT_CP3'!E6,$A$7:$D$15,2,FALSE))</f>
      </c>
      <c r="E41">
        <f>IF('INPUT_CP3'!D7="A",VLOOKUP('INPUT_CP3'!E7,$A$7:$D$15,4,FALSE),1/VLOOKUP('INPUT_CP3'!E7,$A$7:$D$15,2,FALSE))</f>
      </c>
      <c r="F41">
        <f>IF('INPUT_CP3'!D8="A",VLOOKUP('INPUT_CP3'!E8,$A$7:$D$15,4,FALSE),1/VLOOKUP('INPUT_CP3'!E8,$A$7:$D$15,2,FALSE))</f>
      </c>
      <c r="G41">
        <f>SUM(B41:F41)</f>
      </c>
    </row>
    <row r="42">
      <c r="A42" t="str">
        <v>T2</v>
      </c>
      <c r="B42">
        <f>IF('INPUT_CP3'!D5="A",1/VLOOKUP('INPUT_CP3'!E5,$A$7:$D$15,2,FALSE),VLOOKUP('INPUT_CP3'!E5,$A$7:$D$15,4,FALSE))</f>
      </c>
      <c r="C42">
        <v>1</v>
      </c>
      <c r="D42">
        <f>IF('INPUT_CP3'!D9="A",VLOOKUP('INPUT_CP3'!E9,$A$7:$D$15,4,FALSE),1/VLOOKUP('INPUT_CP3'!E9,$A$7:$D$15,2,FALSE))</f>
      </c>
      <c r="E42">
        <f>IF('INPUT_CP3'!D10="A",VLOOKUP('INPUT_CP3'!E10,$A$7:$D$15,4,FALSE),1/VLOOKUP('INPUT_CP3'!E10,$A$7:$D$15,2,FALSE))</f>
      </c>
      <c r="F42">
        <f>IF('INPUT_CP3'!D11="A",VLOOKUP('INPUT_CP3'!E11,$A$7:$D$15,4,FALSE),1/VLOOKUP('INPUT_CP3'!E11,$A$7:$D$15,2,FALSE))</f>
      </c>
      <c r="G42">
        <f>SUM(B42:F42)</f>
      </c>
    </row>
    <row r="43">
      <c r="A43" t="str">
        <v>T3</v>
      </c>
      <c r="B43">
        <f>IF('INPUT_CP3'!D6="A",1/VLOOKUP('INPUT_CP3'!E6,$A$7:$D$15,2,FALSE),VLOOKUP('INPUT_CP3'!E6,$A$7:$D$15,4,FALSE))</f>
      </c>
      <c r="C43">
        <f>IF('INPUT_CP3'!D9="A",1/VLOOKUP('INPUT_CP3'!E9,$A$7:$D$15,2,FALSE),VLOOKUP('INPUT_CP3'!E9,$A$7:$D$15,4,FALSE))</f>
      </c>
      <c r="D43">
        <v>1</v>
      </c>
      <c r="E43">
        <f>IF('INPUT_CP3'!D12="A",VLOOKUP('INPUT_CP3'!E12,$A$7:$D$15,4,FALSE),1/VLOOKUP('INPUT_CP3'!E12,$A$7:$D$15,2,FALSE))</f>
      </c>
      <c r="F43">
        <f>IF('INPUT_CP3'!D13="A",VLOOKUP('INPUT_CP3'!E13,$A$7:$D$15,4,FALSE),1/VLOOKUP('INPUT_CP3'!E13,$A$7:$D$15,2,FALSE))</f>
      </c>
      <c r="G43">
        <f>SUM(B43:F43)</f>
      </c>
    </row>
    <row r="44">
      <c r="A44" t="str">
        <v>T4</v>
      </c>
      <c r="B44">
        <f>IF('INPUT_CP3'!D7="A",1/VLOOKUP('INPUT_CP3'!E7,$A$7:$D$15,2,FALSE),VLOOKUP('INPUT_CP3'!E7,$A$7:$D$15,4,FALSE))</f>
      </c>
      <c r="C44">
        <f>IF('INPUT_CP3'!D10="A",1/VLOOKUP('INPUT_CP3'!E10,$A$7:$D$15,2,FALSE),VLOOKUP('INPUT_CP3'!E10,$A$7:$D$15,4,FALSE))</f>
      </c>
      <c r="D44">
        <f>IF('INPUT_CP3'!D12="A",1/VLOOKUP('INPUT_CP3'!E12,$A$7:$D$15,2,FALSE),VLOOKUP('INPUT_CP3'!E12,$A$7:$D$15,4,FALSE))</f>
      </c>
      <c r="E44">
        <v>1</v>
      </c>
      <c r="F44">
        <f>IF('INPUT_CP3'!D14="A",VLOOKUP('INPUT_CP3'!E14,$A$7:$D$15,4,FALSE),1/VLOOKUP('INPUT_CP3'!E14,$A$7:$D$15,2,FALSE))</f>
      </c>
      <c r="G44">
        <f>SUM(B44:F44)</f>
      </c>
    </row>
    <row r="45">
      <c r="A45" t="str">
        <v>T5</v>
      </c>
      <c r="B45">
        <f>IF('INPUT_CP3'!D8="A",1/VLOOKUP('INPUT_CP3'!E8,$A$7:$D$15,2,FALSE),VLOOKUP('INPUT_CP3'!E8,$A$7:$D$15,4,FALSE))</f>
      </c>
      <c r="C45">
        <f>IF('INPUT_CP3'!D11="A",1/VLOOKUP('INPUT_CP3'!E11,$A$7:$D$15,2,FALSE),VLOOKUP('INPUT_CP3'!E11,$A$7:$D$15,4,FALSE))</f>
      </c>
      <c r="D45">
        <f>IF('INPUT_CP3'!D13="A",1/VLOOKUP('INPUT_CP3'!E13,$A$7:$D$15,2,FALSE),VLOOKUP('INPUT_CP3'!E13,$A$7:$D$15,4,FALSE))</f>
      </c>
      <c r="E45">
        <f>IF('INPUT_CP3'!D14="A",1/VLOOKUP('INPUT_CP3'!E14,$A$7:$D$15,2,FALSE),VLOOKUP('INPUT_CP3'!E14,$A$7:$D$15,4,FALSE))</f>
      </c>
      <c r="F45">
        <v>1</v>
      </c>
      <c r="G45">
        <f>SUM(B45:F45)</f>
      </c>
    </row>
    <row r="46">
      <c r="A46" t="str">
        <v>TOTAL</v>
      </c>
      <c r="G46">
        <f>SUM(G42:G46)</f>
      </c>
    </row>
  </sheetData>
  <ignoredErrors>
    <ignoredError numberStoredAsText="1" sqref="A1:I4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CP3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T1</v>
      </c>
      <c r="B7">
        <f>'FUZZY_CP3'!G21</f>
      </c>
      <c r="C7">
        <f>'FUZZY_CP3'!G32</f>
      </c>
      <c r="D7">
        <f>'FUZZY_CP3'!G42</f>
      </c>
      <c r="E7">
        <f>'FUZZY_CP3'!G26</f>
      </c>
      <c r="F7">
        <f>'FUZZY_CP3'!G36</f>
      </c>
      <c r="G7">
        <f>'FUZZY_CP3'!G46</f>
      </c>
      <c r="H7">
        <f>B7*(1/G7)</f>
      </c>
      <c r="I7">
        <f>C7*(1/F7)</f>
      </c>
      <c r="J7">
        <f>D7*(1/E7)</f>
      </c>
    </row>
    <row r="8">
      <c r="A8" t="str">
        <v>T2</v>
      </c>
      <c r="B8">
        <f>'FUZZY_CP3'!G22</f>
      </c>
      <c r="C8">
        <f>'FUZZY_CP3'!G33</f>
      </c>
      <c r="D8">
        <f>'FUZZY_CP3'!G43</f>
      </c>
      <c r="E8">
        <f>'FUZZY_CP3'!G26</f>
      </c>
      <c r="F8">
        <f>'FUZZY_CP3'!G36</f>
      </c>
      <c r="G8">
        <f>'FUZZY_CP3'!G46</f>
      </c>
      <c r="H8">
        <f>B8*(1/G8)</f>
      </c>
      <c r="I8">
        <f>C8*(1/F8)</f>
      </c>
      <c r="J8">
        <f>D8*(1/E8)</f>
      </c>
    </row>
    <row r="9">
      <c r="A9" t="str">
        <v>T3</v>
      </c>
      <c r="B9">
        <f>'FUZZY_CP3'!G23</f>
      </c>
      <c r="C9">
        <f>'FUZZY_CP3'!G34</f>
      </c>
      <c r="D9">
        <f>'FUZZY_CP3'!G44</f>
      </c>
      <c r="E9">
        <f>'FUZZY_CP3'!G26</f>
      </c>
      <c r="F9">
        <f>'FUZZY_CP3'!G36</f>
      </c>
      <c r="G9">
        <f>'FUZZY_CP3'!G46</f>
      </c>
      <c r="H9">
        <f>B9*(1/G9)</f>
      </c>
      <c r="I9">
        <f>C9*(1/F9)</f>
      </c>
      <c r="J9">
        <f>D9*(1/E9)</f>
      </c>
    </row>
    <row r="10">
      <c r="A10" t="str">
        <v>T4</v>
      </c>
      <c r="B10">
        <f>'FUZZY_CP3'!G24</f>
      </c>
      <c r="C10">
        <f>'FUZZY_CP3'!G35</f>
      </c>
      <c r="D10">
        <f>'FUZZY_CP3'!G45</f>
      </c>
      <c r="E10">
        <f>'FUZZY_CP3'!G26</f>
      </c>
      <c r="F10">
        <f>'FUZZY_CP3'!G36</f>
      </c>
      <c r="G10">
        <f>'FUZZY_CP3'!G46</f>
      </c>
      <c r="H10">
        <f>B10*(1/G10)</f>
      </c>
      <c r="I10">
        <f>C10*(1/F10)</f>
      </c>
      <c r="J10">
        <f>D10*(1/E10)</f>
      </c>
    </row>
    <row r="11">
      <c r="A11" t="str">
        <v>T5</v>
      </c>
      <c r="B11">
        <f>'FUZZY_CP3'!G25</f>
      </c>
      <c r="C11">
        <f>'FUZZY_CP3'!G36</f>
      </c>
      <c r="D11">
        <f>'FUZZY_CP3'!G46</f>
      </c>
      <c r="E11">
        <f>'FUZZY_CP3'!G26</f>
      </c>
      <c r="F11">
        <f>'FUZZY_CP3'!G36</f>
      </c>
      <c r="G11">
        <f>'FUZZY_CP3'!G46</f>
      </c>
      <c r="H11">
        <f>B11*(1/G11)</f>
      </c>
      <c r="I11">
        <f>C11*(1/F11)</f>
      </c>
      <c r="J11">
        <f>D11*(1/E11)</f>
      </c>
    </row>
    <row r="14">
      <c r="A14" t="str">
        <v>LANGKAH 2: Defuzzifikasi (Center of Area) + Normalisasi</v>
      </c>
    </row>
    <row r="15">
      <c r="A15" t="str">
        <v>Kriteria</v>
      </c>
      <c r="B15" t="str">
        <v>Si_l</v>
      </c>
      <c r="C15" t="str">
        <v>Si_m</v>
      </c>
      <c r="D15" t="str">
        <v>Si_u</v>
      </c>
      <c r="E15" t="str">
        <v>Defuzzy = (l+m+u)/3</v>
      </c>
      <c r="F15" t="str">
        <v>Bobot Normal</v>
      </c>
      <c r="G15" t="str">
        <v>Bobot %</v>
      </c>
      <c r="H15" t="str">
        <v>Ranking</v>
      </c>
    </row>
    <row r="16">
      <c r="A16" t="str">
        <v>T1</v>
      </c>
      <c r="B16">
        <f>H7</f>
      </c>
      <c r="C16">
        <f>I7</f>
      </c>
      <c r="D16">
        <f>J7</f>
      </c>
      <c r="E16">
        <f>(B16+C16+D16)/3</f>
      </c>
      <c r="F16">
        <f>E16/E21</f>
      </c>
      <c r="G16">
        <f>F16*100</f>
      </c>
      <c r="H16">
        <f>RANK(F16,F$16:F$20,0)</f>
      </c>
    </row>
    <row r="17">
      <c r="A17" t="str">
        <v>T2</v>
      </c>
      <c r="B17">
        <f>H8</f>
      </c>
      <c r="C17">
        <f>I8</f>
      </c>
      <c r="D17">
        <f>J8</f>
      </c>
      <c r="E17">
        <f>(B17+C17+D17)/3</f>
      </c>
      <c r="F17">
        <f>E17/E21</f>
      </c>
      <c r="G17">
        <f>F17*100</f>
      </c>
      <c r="H17">
        <f>RANK(F17,F$16:F$20,0)</f>
      </c>
    </row>
    <row r="18">
      <c r="A18" t="str">
        <v>T3</v>
      </c>
      <c r="B18">
        <f>H9</f>
      </c>
      <c r="C18">
        <f>I9</f>
      </c>
      <c r="D18">
        <f>J9</f>
      </c>
      <c r="E18">
        <f>(B18+C18+D18)/3</f>
      </c>
      <c r="F18">
        <f>E18/E21</f>
      </c>
      <c r="G18">
        <f>F18*100</f>
      </c>
      <c r="H18">
        <f>RANK(F18,F$16:F$20,0)</f>
      </c>
    </row>
    <row r="19">
      <c r="A19" t="str">
        <v>T4</v>
      </c>
      <c r="B19">
        <f>H10</f>
      </c>
      <c r="C19">
        <f>I10</f>
      </c>
      <c r="D19">
        <f>J10</f>
      </c>
      <c r="E19">
        <f>(B19+C19+D19)/3</f>
      </c>
      <c r="F19">
        <f>E19/E21</f>
      </c>
      <c r="G19">
        <f>F19*100</f>
      </c>
      <c r="H19">
        <f>RANK(F19,F$16:F$20,0)</f>
      </c>
    </row>
    <row r="20">
      <c r="A20" t="str">
        <v>T5</v>
      </c>
      <c r="B20">
        <f>H11</f>
      </c>
      <c r="C20">
        <f>I11</f>
      </c>
      <c r="D20">
        <f>J11</f>
      </c>
      <c r="E20">
        <f>(B20+C20+D20)/3</f>
      </c>
      <c r="F20">
        <f>E20/E21</f>
      </c>
      <c r="G20">
        <f>F20*100</f>
      </c>
      <c r="H20">
        <f>RANK(F20,F$16:F$20,0)</f>
      </c>
    </row>
    <row r="21">
      <c r="D21" t="str">
        <v>TOTAL</v>
      </c>
      <c r="E21">
        <f>SUM(E16:E20)</f>
      </c>
    </row>
  </sheetData>
  <ignoredErrors>
    <ignoredError numberStoredAsText="1" sqref="A1:K2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CP4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R1</v>
      </c>
      <c r="C5" t="str">
        <v>R10</v>
      </c>
      <c r="D5" t="str">
        <v>A</v>
      </c>
      <c r="E5">
        <v>5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R1</v>
      </c>
      <c r="C6" t="str">
        <v>R2</v>
      </c>
      <c r="D6" t="str">
        <v>A</v>
      </c>
      <c r="E6">
        <v>1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R1</v>
      </c>
      <c r="C7" t="str">
        <v>R3</v>
      </c>
      <c r="D7" t="str">
        <v>A</v>
      </c>
      <c r="E7">
        <v>1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R1</v>
      </c>
      <c r="C8" t="str">
        <v>R4</v>
      </c>
      <c r="D8" t="str">
        <v>A</v>
      </c>
      <c r="E8">
        <v>2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R1</v>
      </c>
      <c r="C9" t="str">
        <v>R5</v>
      </c>
      <c r="D9" t="str">
        <v>A</v>
      </c>
      <c r="E9">
        <v>1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R1</v>
      </c>
      <c r="C10" t="str">
        <v>R6</v>
      </c>
      <c r="D10" t="str">
        <v>A</v>
      </c>
      <c r="E10">
        <v>1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R1</v>
      </c>
      <c r="C11" t="str">
        <v>R7</v>
      </c>
      <c r="D11" t="str">
        <v>A</v>
      </c>
      <c r="E11">
        <v>2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R1</v>
      </c>
      <c r="C12" t="str">
        <v>R8</v>
      </c>
      <c r="D12" t="str">
        <v>A</v>
      </c>
      <c r="E12">
        <v>4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R1</v>
      </c>
      <c r="C13" t="str">
        <v>R9</v>
      </c>
      <c r="D13" t="str">
        <v>A</v>
      </c>
      <c r="E13">
        <v>5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R10</v>
      </c>
      <c r="C14" t="str">
        <v>R2</v>
      </c>
      <c r="D14" t="str">
        <v>B</v>
      </c>
      <c r="E14">
        <v>6</v>
      </c>
      <c r="F14">
        <f>IF(E14=1,"Sama Penting",IF(E14=3,"Sedikit Lebih Penting",IF(E14=5,"Lebih Penting",IF(E14=7,"Sangat Lebih Penting",IF(E14=9,"Mutlak Lebih Penting","Nilai Antara")))))</f>
      </c>
    </row>
    <row r="15">
      <c r="A15">
        <v>11</v>
      </c>
      <c r="B15" t="str">
        <v>R10</v>
      </c>
      <c r="C15" t="str">
        <v>R3</v>
      </c>
      <c r="D15" t="str">
        <v>B</v>
      </c>
      <c r="E15">
        <v>7</v>
      </c>
      <c r="F15">
        <f>IF(E15=1,"Sama Penting",IF(E15=3,"Sedikit Lebih Penting",IF(E15=5,"Lebih Penting",IF(E15=7,"Sangat Lebih Penting",IF(E15=9,"Mutlak Lebih Penting","Nilai Antara")))))</f>
      </c>
    </row>
    <row r="16">
      <c r="A16">
        <v>12</v>
      </c>
      <c r="B16" t="str">
        <v>R10</v>
      </c>
      <c r="C16" t="str">
        <v>R4</v>
      </c>
      <c r="D16" t="str">
        <v>B</v>
      </c>
      <c r="E16">
        <v>3</v>
      </c>
      <c r="F16">
        <f>IF(E16=1,"Sama Penting",IF(E16=3,"Sedikit Lebih Penting",IF(E16=5,"Lebih Penting",IF(E16=7,"Sangat Lebih Penting",IF(E16=9,"Mutlak Lebih Penting","Nilai Antara")))))</f>
      </c>
    </row>
    <row r="17">
      <c r="A17">
        <v>13</v>
      </c>
      <c r="B17" t="str">
        <v>R10</v>
      </c>
      <c r="C17" t="str">
        <v>R5</v>
      </c>
      <c r="D17" t="str">
        <v>B</v>
      </c>
      <c r="E17">
        <v>3</v>
      </c>
      <c r="F17">
        <f>IF(E17=1,"Sama Penting",IF(E17=3,"Sedikit Lebih Penting",IF(E17=5,"Lebih Penting",IF(E17=7,"Sangat Lebih Penting",IF(E17=9,"Mutlak Lebih Penting","Nilai Antara")))))</f>
      </c>
    </row>
    <row r="18">
      <c r="A18">
        <v>14</v>
      </c>
      <c r="B18" t="str">
        <v>R10</v>
      </c>
      <c r="C18" t="str">
        <v>R6</v>
      </c>
      <c r="D18" t="str">
        <v>B</v>
      </c>
      <c r="E18">
        <v>3</v>
      </c>
      <c r="F18">
        <f>IF(E18=1,"Sama Penting",IF(E18=3,"Sedikit Lebih Penting",IF(E18=5,"Lebih Penting",IF(E18=7,"Sangat Lebih Penting",IF(E18=9,"Mutlak Lebih Penting","Nilai Antara")))))</f>
      </c>
    </row>
    <row r="19">
      <c r="A19">
        <v>15</v>
      </c>
      <c r="B19" t="str">
        <v>R10</v>
      </c>
      <c r="C19" t="str">
        <v>R7</v>
      </c>
      <c r="D19" t="str">
        <v>B</v>
      </c>
      <c r="E19">
        <v>2</v>
      </c>
      <c r="F19">
        <f>IF(E19=1,"Sama Penting",IF(E19=3,"Sedikit Lebih Penting",IF(E19=5,"Lebih Penting",IF(E19=7,"Sangat Lebih Penting",IF(E19=9,"Mutlak Lebih Penting","Nilai Antara")))))</f>
      </c>
    </row>
    <row r="20">
      <c r="A20">
        <v>16</v>
      </c>
      <c r="B20" t="str">
        <v>R10</v>
      </c>
      <c r="C20" t="str">
        <v>R8</v>
      </c>
      <c r="D20" t="str">
        <v>A</v>
      </c>
      <c r="E20">
        <v>1</v>
      </c>
      <c r="F20">
        <f>IF(E20=1,"Sama Penting",IF(E20=3,"Sedikit Lebih Penting",IF(E20=5,"Lebih Penting",IF(E20=7,"Sangat Lebih Penting",IF(E20=9,"Mutlak Lebih Penting","Nilai Antara")))))</f>
      </c>
    </row>
    <row r="21">
      <c r="A21">
        <v>17</v>
      </c>
      <c r="B21" t="str">
        <v>R10</v>
      </c>
      <c r="C21" t="str">
        <v>R9</v>
      </c>
      <c r="D21" t="str">
        <v>A</v>
      </c>
      <c r="E21">
        <v>1</v>
      </c>
      <c r="F21">
        <f>IF(E21=1,"Sama Penting",IF(E21=3,"Sedikit Lebih Penting",IF(E21=5,"Lebih Penting",IF(E21=7,"Sangat Lebih Penting",IF(E21=9,"Mutlak Lebih Penting","Nilai Antara")))))</f>
      </c>
    </row>
    <row r="22">
      <c r="A22">
        <v>18</v>
      </c>
      <c r="B22" t="str">
        <v>R2</v>
      </c>
      <c r="C22" t="str">
        <v>R3</v>
      </c>
      <c r="D22" t="str">
        <v>A</v>
      </c>
      <c r="E22">
        <v>1</v>
      </c>
      <c r="F22">
        <f>IF(E22=1,"Sama Penting",IF(E22=3,"Sedikit Lebih Penting",IF(E22=5,"Lebih Penting",IF(E22=7,"Sangat Lebih Penting",IF(E22=9,"Mutlak Lebih Penting","Nilai Antara")))))</f>
      </c>
    </row>
    <row r="23">
      <c r="A23">
        <v>19</v>
      </c>
      <c r="B23" t="str">
        <v>R2</v>
      </c>
      <c r="C23" t="str">
        <v>R4</v>
      </c>
      <c r="D23" t="str">
        <v>A</v>
      </c>
      <c r="E23">
        <v>2</v>
      </c>
      <c r="F23">
        <f>IF(E23=1,"Sama Penting",IF(E23=3,"Sedikit Lebih Penting",IF(E23=5,"Lebih Penting",IF(E23=7,"Sangat Lebih Penting",IF(E23=9,"Mutlak Lebih Penting","Nilai Antara")))))</f>
      </c>
    </row>
    <row r="24">
      <c r="A24">
        <v>20</v>
      </c>
      <c r="B24" t="str">
        <v>R2</v>
      </c>
      <c r="C24" t="str">
        <v>R5</v>
      </c>
      <c r="D24" t="str">
        <v>A</v>
      </c>
      <c r="E24">
        <v>2</v>
      </c>
      <c r="F24">
        <f>IF(E24=1,"Sama Penting",IF(E24=3,"Sedikit Lebih Penting",IF(E24=5,"Lebih Penting",IF(E24=7,"Sangat Lebih Penting",IF(E24=9,"Mutlak Lebih Penting","Nilai Antara")))))</f>
      </c>
    </row>
    <row r="25">
      <c r="A25">
        <v>21</v>
      </c>
      <c r="B25" t="str">
        <v>R2</v>
      </c>
      <c r="C25" t="str">
        <v>R6</v>
      </c>
      <c r="D25" t="str">
        <v>A</v>
      </c>
      <c r="E25">
        <v>2</v>
      </c>
      <c r="F25">
        <f>IF(E25=1,"Sama Penting",IF(E25=3,"Sedikit Lebih Penting",IF(E25=5,"Lebih Penting",IF(E25=7,"Sangat Lebih Penting",IF(E25=9,"Mutlak Lebih Penting","Nilai Antara")))))</f>
      </c>
    </row>
    <row r="26">
      <c r="A26">
        <v>22</v>
      </c>
      <c r="B26" t="str">
        <v>R2</v>
      </c>
      <c r="C26" t="str">
        <v>R7</v>
      </c>
      <c r="D26" t="str">
        <v>A</v>
      </c>
      <c r="E26">
        <v>3</v>
      </c>
      <c r="F26">
        <f>IF(E26=1,"Sama Penting",IF(E26=3,"Sedikit Lebih Penting",IF(E26=5,"Lebih Penting",IF(E26=7,"Sangat Lebih Penting",IF(E26=9,"Mutlak Lebih Penting","Nilai Antara")))))</f>
      </c>
    </row>
    <row r="27">
      <c r="A27">
        <v>23</v>
      </c>
      <c r="B27" t="str">
        <v>R2</v>
      </c>
      <c r="C27" t="str">
        <v>R8</v>
      </c>
      <c r="D27" t="str">
        <v>A</v>
      </c>
      <c r="E27">
        <v>4</v>
      </c>
      <c r="F27">
        <f>IF(E27=1,"Sama Penting",IF(E27=3,"Sedikit Lebih Penting",IF(E27=5,"Lebih Penting",IF(E27=7,"Sangat Lebih Penting",IF(E27=9,"Mutlak Lebih Penting","Nilai Antara")))))</f>
      </c>
    </row>
    <row r="28">
      <c r="A28">
        <v>24</v>
      </c>
      <c r="B28" t="str">
        <v>R2</v>
      </c>
      <c r="C28" t="str">
        <v>R9</v>
      </c>
      <c r="D28" t="str">
        <v>A</v>
      </c>
      <c r="E28">
        <v>6</v>
      </c>
      <c r="F28">
        <f>IF(E28=1,"Sama Penting",IF(E28=3,"Sedikit Lebih Penting",IF(E28=5,"Lebih Penting",IF(E28=7,"Sangat Lebih Penting",IF(E28=9,"Mutlak Lebih Penting","Nilai Antara")))))</f>
      </c>
    </row>
    <row r="29">
      <c r="A29">
        <v>25</v>
      </c>
      <c r="B29" t="str">
        <v>R3</v>
      </c>
      <c r="C29" t="str">
        <v>R4</v>
      </c>
      <c r="D29" t="str">
        <v>A</v>
      </c>
      <c r="E29">
        <v>3</v>
      </c>
      <c r="F29">
        <f>IF(E29=1,"Sama Penting",IF(E29=3,"Sedikit Lebih Penting",IF(E29=5,"Lebih Penting",IF(E29=7,"Sangat Lebih Penting",IF(E29=9,"Mutlak Lebih Penting","Nilai Antara")))))</f>
      </c>
    </row>
    <row r="30">
      <c r="A30">
        <v>26</v>
      </c>
      <c r="B30" t="str">
        <v>R3</v>
      </c>
      <c r="C30" t="str">
        <v>R5</v>
      </c>
      <c r="D30" t="str">
        <v>A</v>
      </c>
      <c r="E30">
        <v>2</v>
      </c>
      <c r="F30">
        <f>IF(E30=1,"Sama Penting",IF(E30=3,"Sedikit Lebih Penting",IF(E30=5,"Lebih Penting",IF(E30=7,"Sangat Lebih Penting",IF(E30=9,"Mutlak Lebih Penting","Nilai Antara")))))</f>
      </c>
    </row>
    <row r="31">
      <c r="A31">
        <v>27</v>
      </c>
      <c r="B31" t="str">
        <v>R3</v>
      </c>
      <c r="C31" t="str">
        <v>R6</v>
      </c>
      <c r="D31" t="str">
        <v>A</v>
      </c>
      <c r="E31">
        <v>2</v>
      </c>
      <c r="F31">
        <f>IF(E31=1,"Sama Penting",IF(E31=3,"Sedikit Lebih Penting",IF(E31=5,"Lebih Penting",IF(E31=7,"Sangat Lebih Penting",IF(E31=9,"Mutlak Lebih Penting","Nilai Antara")))))</f>
      </c>
    </row>
    <row r="32">
      <c r="A32">
        <v>28</v>
      </c>
      <c r="B32" t="str">
        <v>R3</v>
      </c>
      <c r="C32" t="str">
        <v>R7</v>
      </c>
      <c r="D32" t="str">
        <v>A</v>
      </c>
      <c r="E32">
        <v>3</v>
      </c>
      <c r="F32">
        <f>IF(E32=1,"Sama Penting",IF(E32=3,"Sedikit Lebih Penting",IF(E32=5,"Lebih Penting",IF(E32=7,"Sangat Lebih Penting",IF(E32=9,"Mutlak Lebih Penting","Nilai Antara")))))</f>
      </c>
    </row>
    <row r="33">
      <c r="A33">
        <v>29</v>
      </c>
      <c r="B33" t="str">
        <v>R3</v>
      </c>
      <c r="C33" t="str">
        <v>R8</v>
      </c>
      <c r="D33" t="str">
        <v>A</v>
      </c>
      <c r="E33">
        <v>5</v>
      </c>
      <c r="F33">
        <f>IF(E33=1,"Sama Penting",IF(E33=3,"Sedikit Lebih Penting",IF(E33=5,"Lebih Penting",IF(E33=7,"Sangat Lebih Penting",IF(E33=9,"Mutlak Lebih Penting","Nilai Antara")))))</f>
      </c>
    </row>
    <row r="34">
      <c r="A34">
        <v>30</v>
      </c>
      <c r="B34" t="str">
        <v>R3</v>
      </c>
      <c r="C34" t="str">
        <v>R9</v>
      </c>
      <c r="D34" t="str">
        <v>A</v>
      </c>
      <c r="E34">
        <v>7</v>
      </c>
      <c r="F34">
        <f>IF(E34=1,"Sama Penting",IF(E34=3,"Sedikit Lebih Penting",IF(E34=5,"Lebih Penting",IF(E34=7,"Sangat Lebih Penting",IF(E34=9,"Mutlak Lebih Penting","Nilai Antara")))))</f>
      </c>
    </row>
    <row r="35">
      <c r="A35">
        <v>31</v>
      </c>
      <c r="B35" t="str">
        <v>R4</v>
      </c>
      <c r="C35" t="str">
        <v>R5</v>
      </c>
      <c r="D35" t="str">
        <v>A</v>
      </c>
      <c r="E35">
        <v>1</v>
      </c>
      <c r="F35">
        <f>IF(E35=1,"Sama Penting",IF(E35=3,"Sedikit Lebih Penting",IF(E35=5,"Lebih Penting",IF(E35=7,"Sangat Lebih Penting",IF(E35=9,"Mutlak Lebih Penting","Nilai Antara")))))</f>
      </c>
    </row>
    <row r="36">
      <c r="A36">
        <v>32</v>
      </c>
      <c r="B36" t="str">
        <v>R4</v>
      </c>
      <c r="C36" t="str">
        <v>R6</v>
      </c>
      <c r="D36" t="str">
        <v>A</v>
      </c>
      <c r="E36">
        <v>1</v>
      </c>
      <c r="F36">
        <f>IF(E36=1,"Sama Penting",IF(E36=3,"Sedikit Lebih Penting",IF(E36=5,"Lebih Penting",IF(E36=7,"Sangat Lebih Penting",IF(E36=9,"Mutlak Lebih Penting","Nilai Antara")))))</f>
      </c>
    </row>
    <row r="37">
      <c r="A37">
        <v>33</v>
      </c>
      <c r="B37" t="str">
        <v>R4</v>
      </c>
      <c r="C37" t="str">
        <v>R7</v>
      </c>
      <c r="D37" t="str">
        <v>A</v>
      </c>
      <c r="E37">
        <v>1</v>
      </c>
      <c r="F37">
        <f>IF(E37=1,"Sama Penting",IF(E37=3,"Sedikit Lebih Penting",IF(E37=5,"Lebih Penting",IF(E37=7,"Sangat Lebih Penting",IF(E37=9,"Mutlak Lebih Penting","Nilai Antara")))))</f>
      </c>
    </row>
    <row r="38">
      <c r="A38">
        <v>34</v>
      </c>
      <c r="B38" t="str">
        <v>R4</v>
      </c>
      <c r="C38" t="str">
        <v>R8</v>
      </c>
      <c r="D38" t="str">
        <v>A</v>
      </c>
      <c r="E38">
        <v>2</v>
      </c>
      <c r="F38">
        <f>IF(E38=1,"Sama Penting",IF(E38=3,"Sedikit Lebih Penting",IF(E38=5,"Lebih Penting",IF(E38=7,"Sangat Lebih Penting",IF(E38=9,"Mutlak Lebih Penting","Nilai Antara")))))</f>
      </c>
    </row>
    <row r="39">
      <c r="A39">
        <v>35</v>
      </c>
      <c r="B39" t="str">
        <v>R4</v>
      </c>
      <c r="C39" t="str">
        <v>R9</v>
      </c>
      <c r="D39" t="str">
        <v>A</v>
      </c>
      <c r="E39">
        <v>3</v>
      </c>
      <c r="F39">
        <f>IF(E39=1,"Sama Penting",IF(E39=3,"Sedikit Lebih Penting",IF(E39=5,"Lebih Penting",IF(E39=7,"Sangat Lebih Penting",IF(E39=9,"Mutlak Lebih Penting","Nilai Antara")))))</f>
      </c>
    </row>
    <row r="40">
      <c r="A40">
        <v>36</v>
      </c>
      <c r="B40" t="str">
        <v>R5</v>
      </c>
      <c r="C40" t="str">
        <v>R6</v>
      </c>
      <c r="D40" t="str">
        <v>A</v>
      </c>
      <c r="E40">
        <v>1</v>
      </c>
      <c r="F40">
        <f>IF(E40=1,"Sama Penting",IF(E40=3,"Sedikit Lebih Penting",IF(E40=5,"Lebih Penting",IF(E40=7,"Sangat Lebih Penting",IF(E40=9,"Mutlak Lebih Penting","Nilai Antara")))))</f>
      </c>
    </row>
    <row r="41">
      <c r="A41">
        <v>37</v>
      </c>
      <c r="B41" t="str">
        <v>R5</v>
      </c>
      <c r="C41" t="str">
        <v>R7</v>
      </c>
      <c r="D41" t="str">
        <v>A</v>
      </c>
      <c r="E41">
        <v>1</v>
      </c>
      <c r="F41">
        <f>IF(E41=1,"Sama Penting",IF(E41=3,"Sedikit Lebih Penting",IF(E41=5,"Lebih Penting",IF(E41=7,"Sangat Lebih Penting",IF(E41=9,"Mutlak Lebih Penting","Nilai Antara")))))</f>
      </c>
    </row>
    <row r="42">
      <c r="A42">
        <v>38</v>
      </c>
      <c r="B42" t="str">
        <v>R5</v>
      </c>
      <c r="C42" t="str">
        <v>R8</v>
      </c>
      <c r="D42" t="str">
        <v>A</v>
      </c>
      <c r="E42">
        <v>2</v>
      </c>
      <c r="F42">
        <f>IF(E42=1,"Sama Penting",IF(E42=3,"Sedikit Lebih Penting",IF(E42=5,"Lebih Penting",IF(E42=7,"Sangat Lebih Penting",IF(E42=9,"Mutlak Lebih Penting","Nilai Antara")))))</f>
      </c>
    </row>
    <row r="43">
      <c r="A43">
        <v>39</v>
      </c>
      <c r="B43" t="str">
        <v>R5</v>
      </c>
      <c r="C43" t="str">
        <v>R9</v>
      </c>
      <c r="D43" t="str">
        <v>A</v>
      </c>
      <c r="E43">
        <v>3</v>
      </c>
      <c r="F43">
        <f>IF(E43=1,"Sama Penting",IF(E43=3,"Sedikit Lebih Penting",IF(E43=5,"Lebih Penting",IF(E43=7,"Sangat Lebih Penting",IF(E43=9,"Mutlak Lebih Penting","Nilai Antara")))))</f>
      </c>
    </row>
    <row r="44">
      <c r="A44">
        <v>40</v>
      </c>
      <c r="B44" t="str">
        <v>R6</v>
      </c>
      <c r="C44" t="str">
        <v>R7</v>
      </c>
      <c r="D44" t="str">
        <v>A</v>
      </c>
      <c r="E44">
        <v>1</v>
      </c>
      <c r="F44">
        <f>IF(E44=1,"Sama Penting",IF(E44=3,"Sedikit Lebih Penting",IF(E44=5,"Lebih Penting",IF(E44=7,"Sangat Lebih Penting",IF(E44=9,"Mutlak Lebih Penting","Nilai Antara")))))</f>
      </c>
    </row>
    <row r="45">
      <c r="A45">
        <v>41</v>
      </c>
      <c r="B45" t="str">
        <v>R6</v>
      </c>
      <c r="C45" t="str">
        <v>R8</v>
      </c>
      <c r="D45" t="str">
        <v>A</v>
      </c>
      <c r="E45">
        <v>2</v>
      </c>
      <c r="F45">
        <f>IF(E45=1,"Sama Penting",IF(E45=3,"Sedikit Lebih Penting",IF(E45=5,"Lebih Penting",IF(E45=7,"Sangat Lebih Penting",IF(E45=9,"Mutlak Lebih Penting","Nilai Antara")))))</f>
      </c>
    </row>
    <row r="46">
      <c r="A46">
        <v>42</v>
      </c>
      <c r="B46" t="str">
        <v>R6</v>
      </c>
      <c r="C46" t="str">
        <v>R9</v>
      </c>
      <c r="D46" t="str">
        <v>A</v>
      </c>
      <c r="E46">
        <v>3</v>
      </c>
      <c r="F46">
        <f>IF(E46=1,"Sama Penting",IF(E46=3,"Sedikit Lebih Penting",IF(E46=5,"Lebih Penting",IF(E46=7,"Sangat Lebih Penting",IF(E46=9,"Mutlak Lebih Penting","Nilai Antara")))))</f>
      </c>
    </row>
    <row r="47">
      <c r="A47">
        <v>43</v>
      </c>
      <c r="B47" t="str">
        <v>R7</v>
      </c>
      <c r="C47" t="str">
        <v>R8</v>
      </c>
      <c r="D47" t="str">
        <v>A</v>
      </c>
      <c r="E47">
        <v>2</v>
      </c>
      <c r="F47">
        <f>IF(E47=1,"Sama Penting",IF(E47=3,"Sedikit Lebih Penting",IF(E47=5,"Lebih Penting",IF(E47=7,"Sangat Lebih Penting",IF(E47=9,"Mutlak Lebih Penting","Nilai Antara")))))</f>
      </c>
    </row>
    <row r="48">
      <c r="A48">
        <v>44</v>
      </c>
      <c r="B48" t="str">
        <v>R7</v>
      </c>
      <c r="C48" t="str">
        <v>R9</v>
      </c>
      <c r="D48" t="str">
        <v>A</v>
      </c>
      <c r="E48">
        <v>2</v>
      </c>
      <c r="F48">
        <f>IF(E48=1,"Sama Penting",IF(E48=3,"Sedikit Lebih Penting",IF(E48=5,"Lebih Penting",IF(E48=7,"Sangat Lebih Penting",IF(E48=9,"Mutlak Lebih Penting","Nilai Antara")))))</f>
      </c>
    </row>
    <row r="49">
      <c r="A49">
        <v>45</v>
      </c>
      <c r="B49" t="str">
        <v>R8</v>
      </c>
      <c r="C49" t="str">
        <v>R9</v>
      </c>
      <c r="D49" t="str">
        <v>A</v>
      </c>
      <c r="E49">
        <v>1</v>
      </c>
      <c r="F49">
        <f>IF(E49=1,"Sama Penting",IF(E49=3,"Sedikit Lebih Penting",IF(E49=5,"Lebih Penting",IF(E49=7,"Sangat Lebih Penting",IF(E49=9,"Mutlak Lebih Penting","Nilai Antara")))))</f>
      </c>
    </row>
    <row r="52">
      <c r="A52" t="str">
        <v>Tabel Random Index (RI) — Saaty</v>
      </c>
    </row>
    <row r="53">
      <c r="A53" t="str">
        <v>n</v>
      </c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10</v>
      </c>
    </row>
    <row r="54">
      <c r="A54" t="str">
        <v>RI</v>
      </c>
      <c r="B54">
        <v>0</v>
      </c>
      <c r="C54">
        <v>0</v>
      </c>
      <c r="D54">
        <v>0.58</v>
      </c>
      <c r="E54">
        <v>0.9</v>
      </c>
      <c r="F54">
        <v>1.12</v>
      </c>
      <c r="G54">
        <v>1.24</v>
      </c>
      <c r="H54">
        <v>1.32</v>
      </c>
      <c r="I54">
        <v>1.41</v>
      </c>
      <c r="J54">
        <v>1.45</v>
      </c>
      <c r="K54">
        <v>1.49</v>
      </c>
    </row>
    <row r="56">
      <c r="A56" t="str">
        <v>Skala Saaty → TFN (Triangular Fuzzy Number)</v>
      </c>
    </row>
    <row r="57">
      <c r="A57" t="str">
        <v>Skala</v>
      </c>
      <c r="B57" t="str">
        <v>l</v>
      </c>
      <c r="C57" t="str">
        <v>m</v>
      </c>
      <c r="D57" t="str">
        <v>u</v>
      </c>
    </row>
    <row r="58">
      <c r="A58">
        <v>1</v>
      </c>
      <c r="B58">
        <v>1</v>
      </c>
      <c r="C58">
        <v>1</v>
      </c>
      <c r="D58">
        <v>1</v>
      </c>
    </row>
    <row r="59">
      <c r="A59">
        <v>2</v>
      </c>
      <c r="B59">
        <v>1</v>
      </c>
      <c r="C59">
        <v>2</v>
      </c>
      <c r="D59">
        <v>3</v>
      </c>
    </row>
    <row r="60">
      <c r="A60">
        <v>3</v>
      </c>
      <c r="B60">
        <v>1</v>
      </c>
      <c r="C60">
        <v>3</v>
      </c>
      <c r="D60">
        <v>5</v>
      </c>
    </row>
    <row r="61">
      <c r="A61">
        <v>4</v>
      </c>
      <c r="B61">
        <v>3</v>
      </c>
      <c r="C61">
        <v>4</v>
      </c>
      <c r="D61">
        <v>5</v>
      </c>
    </row>
    <row r="62">
      <c r="A62">
        <v>5</v>
      </c>
      <c r="B62">
        <v>3</v>
      </c>
      <c r="C62">
        <v>5</v>
      </c>
      <c r="D62">
        <v>7</v>
      </c>
    </row>
    <row r="63">
      <c r="A63">
        <v>6</v>
      </c>
      <c r="B63">
        <v>5</v>
      </c>
      <c r="C63">
        <v>6</v>
      </c>
      <c r="D63">
        <v>7</v>
      </c>
    </row>
    <row r="64">
      <c r="A64">
        <v>7</v>
      </c>
      <c r="B64">
        <v>5</v>
      </c>
      <c r="C64">
        <v>7</v>
      </c>
      <c r="D64">
        <v>9</v>
      </c>
    </row>
    <row r="65">
      <c r="A65">
        <v>8</v>
      </c>
      <c r="B65">
        <v>7</v>
      </c>
      <c r="C65">
        <v>8</v>
      </c>
      <c r="D65">
        <v>9</v>
      </c>
    </row>
    <row r="66">
      <c r="A66">
        <v>9</v>
      </c>
      <c r="B66">
        <v>7</v>
      </c>
      <c r="C66">
        <v>9</v>
      </c>
      <c r="D66">
        <v>9</v>
      </c>
    </row>
  </sheetData>
  <ignoredErrors>
    <ignoredError numberStoredAsText="1" sqref="A1:K6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MATRIKS PERBANDINGAN BERPASANGAN — Level 2 — Sub-Kriteria CP4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R1</v>
      </c>
      <c r="C5" t="str">
        <v>R10</v>
      </c>
      <c r="D5" t="str">
        <v>R2</v>
      </c>
      <c r="E5" t="str">
        <v>R3</v>
      </c>
      <c r="F5" t="str">
        <v>R4</v>
      </c>
      <c r="G5" t="str">
        <v>R5</v>
      </c>
      <c r="H5" t="str">
        <v>R6</v>
      </c>
      <c r="I5" t="str">
        <v>R7</v>
      </c>
      <c r="J5" t="str">
        <v>R8</v>
      </c>
      <c r="K5" t="str">
        <v>R9</v>
      </c>
    </row>
    <row r="6">
      <c r="A6" t="str">
        <v>R1</v>
      </c>
      <c r="B6">
        <v>1</v>
      </c>
      <c r="C6">
        <f>IF('INPUT_CP4'!D5="A",'INPUT_CP4'!E5,1/'INPUT_CP4'!E5)</f>
      </c>
      <c r="D6">
        <f>IF('INPUT_CP4'!D6="A",'INPUT_CP4'!E6,1/'INPUT_CP4'!E6)</f>
      </c>
      <c r="E6">
        <f>IF('INPUT_CP4'!D7="A",'INPUT_CP4'!E7,1/'INPUT_CP4'!E7)</f>
      </c>
      <c r="F6">
        <f>IF('INPUT_CP4'!D8="A",'INPUT_CP4'!E8,1/'INPUT_CP4'!E8)</f>
      </c>
      <c r="G6">
        <f>IF('INPUT_CP4'!D9="A",'INPUT_CP4'!E9,1/'INPUT_CP4'!E9)</f>
      </c>
      <c r="H6">
        <f>IF('INPUT_CP4'!D10="A",'INPUT_CP4'!E10,1/'INPUT_CP4'!E10)</f>
      </c>
      <c r="I6">
        <f>IF('INPUT_CP4'!D11="A",'INPUT_CP4'!E11,1/'INPUT_CP4'!E11)</f>
      </c>
      <c r="J6">
        <f>IF('INPUT_CP4'!D12="A",'INPUT_CP4'!E12,1/'INPUT_CP4'!E12)</f>
      </c>
      <c r="K6">
        <f>IF('INPUT_CP4'!D13="A",'INPUT_CP4'!E13,1/'INPUT_CP4'!E13)</f>
      </c>
    </row>
    <row r="7">
      <c r="A7" t="str">
        <v>R10</v>
      </c>
      <c r="B7">
        <f>1/C6</f>
      </c>
      <c r="C7">
        <v>1</v>
      </c>
      <c r="D7">
        <f>IF('INPUT_CP4'!D14="A",'INPUT_CP4'!E14,1/'INPUT_CP4'!E14)</f>
      </c>
      <c r="E7">
        <f>IF('INPUT_CP4'!D15="A",'INPUT_CP4'!E15,1/'INPUT_CP4'!E15)</f>
      </c>
      <c r="F7">
        <f>IF('INPUT_CP4'!D16="A",'INPUT_CP4'!E16,1/'INPUT_CP4'!E16)</f>
      </c>
      <c r="G7">
        <f>IF('INPUT_CP4'!D17="A",'INPUT_CP4'!E17,1/'INPUT_CP4'!E17)</f>
      </c>
      <c r="H7">
        <f>IF('INPUT_CP4'!D18="A",'INPUT_CP4'!E18,1/'INPUT_CP4'!E18)</f>
      </c>
      <c r="I7">
        <f>IF('INPUT_CP4'!D19="A",'INPUT_CP4'!E19,1/'INPUT_CP4'!E19)</f>
      </c>
      <c r="J7">
        <f>IF('INPUT_CP4'!D20="A",'INPUT_CP4'!E20,1/'INPUT_CP4'!E20)</f>
      </c>
      <c r="K7">
        <f>IF('INPUT_CP4'!D21="A",'INPUT_CP4'!E21,1/'INPUT_CP4'!E21)</f>
      </c>
    </row>
    <row r="8">
      <c r="A8" t="str">
        <v>R2</v>
      </c>
      <c r="B8">
        <f>1/D6</f>
      </c>
      <c r="C8">
        <f>1/D7</f>
      </c>
      <c r="D8">
        <v>1</v>
      </c>
      <c r="E8">
        <f>IF('INPUT_CP4'!D22="A",'INPUT_CP4'!E22,1/'INPUT_CP4'!E22)</f>
      </c>
      <c r="F8">
        <f>IF('INPUT_CP4'!D23="A",'INPUT_CP4'!E23,1/'INPUT_CP4'!E23)</f>
      </c>
      <c r="G8">
        <f>IF('INPUT_CP4'!D24="A",'INPUT_CP4'!E24,1/'INPUT_CP4'!E24)</f>
      </c>
      <c r="H8">
        <f>IF('INPUT_CP4'!D25="A",'INPUT_CP4'!E25,1/'INPUT_CP4'!E25)</f>
      </c>
      <c r="I8">
        <f>IF('INPUT_CP4'!D26="A",'INPUT_CP4'!E26,1/'INPUT_CP4'!E26)</f>
      </c>
      <c r="J8">
        <f>IF('INPUT_CP4'!D27="A",'INPUT_CP4'!E27,1/'INPUT_CP4'!E27)</f>
      </c>
      <c r="K8">
        <f>IF('INPUT_CP4'!D28="A",'INPUT_CP4'!E28,1/'INPUT_CP4'!E28)</f>
      </c>
    </row>
    <row r="9">
      <c r="A9" t="str">
        <v>R3</v>
      </c>
      <c r="B9">
        <f>1/E6</f>
      </c>
      <c r="C9">
        <f>1/E7</f>
      </c>
      <c r="D9">
        <f>1/E8</f>
      </c>
      <c r="E9">
        <v>1</v>
      </c>
      <c r="F9">
        <f>IF('INPUT_CP4'!D29="A",'INPUT_CP4'!E29,1/'INPUT_CP4'!E29)</f>
      </c>
      <c r="G9">
        <f>IF('INPUT_CP4'!D30="A",'INPUT_CP4'!E30,1/'INPUT_CP4'!E30)</f>
      </c>
      <c r="H9">
        <f>IF('INPUT_CP4'!D31="A",'INPUT_CP4'!E31,1/'INPUT_CP4'!E31)</f>
      </c>
      <c r="I9">
        <f>IF('INPUT_CP4'!D32="A",'INPUT_CP4'!E32,1/'INPUT_CP4'!E32)</f>
      </c>
      <c r="J9">
        <f>IF('INPUT_CP4'!D33="A",'INPUT_CP4'!E33,1/'INPUT_CP4'!E33)</f>
      </c>
      <c r="K9">
        <f>IF('INPUT_CP4'!D34="A",'INPUT_CP4'!E34,1/'INPUT_CP4'!E34)</f>
      </c>
    </row>
    <row r="10">
      <c r="A10" t="str">
        <v>R4</v>
      </c>
      <c r="B10">
        <f>1/F6</f>
      </c>
      <c r="C10">
        <f>1/F7</f>
      </c>
      <c r="D10">
        <f>1/F8</f>
      </c>
      <c r="E10">
        <f>1/F9</f>
      </c>
      <c r="F10">
        <v>1</v>
      </c>
      <c r="G10">
        <f>IF('INPUT_CP4'!D35="A",'INPUT_CP4'!E35,1/'INPUT_CP4'!E35)</f>
      </c>
      <c r="H10">
        <f>IF('INPUT_CP4'!D36="A",'INPUT_CP4'!E36,1/'INPUT_CP4'!E36)</f>
      </c>
      <c r="I10">
        <f>IF('INPUT_CP4'!D37="A",'INPUT_CP4'!E37,1/'INPUT_CP4'!E37)</f>
      </c>
      <c r="J10">
        <f>IF('INPUT_CP4'!D38="A",'INPUT_CP4'!E38,1/'INPUT_CP4'!E38)</f>
      </c>
      <c r="K10">
        <f>IF('INPUT_CP4'!D39="A",'INPUT_CP4'!E39,1/'INPUT_CP4'!E39)</f>
      </c>
    </row>
    <row r="11">
      <c r="A11" t="str">
        <v>R5</v>
      </c>
      <c r="B11">
        <f>1/G6</f>
      </c>
      <c r="C11">
        <f>1/G7</f>
      </c>
      <c r="D11">
        <f>1/G8</f>
      </c>
      <c r="E11">
        <f>1/G9</f>
      </c>
      <c r="F11">
        <f>1/G10</f>
      </c>
      <c r="G11">
        <v>1</v>
      </c>
      <c r="H11">
        <f>IF('INPUT_CP4'!D40="A",'INPUT_CP4'!E40,1/'INPUT_CP4'!E40)</f>
      </c>
      <c r="I11">
        <f>IF('INPUT_CP4'!D41="A",'INPUT_CP4'!E41,1/'INPUT_CP4'!E41)</f>
      </c>
      <c r="J11">
        <f>IF('INPUT_CP4'!D42="A",'INPUT_CP4'!E42,1/'INPUT_CP4'!E42)</f>
      </c>
      <c r="K11">
        <f>IF('INPUT_CP4'!D43="A",'INPUT_CP4'!E43,1/'INPUT_CP4'!E43)</f>
      </c>
    </row>
    <row r="12">
      <c r="A12" t="str">
        <v>R6</v>
      </c>
      <c r="B12">
        <f>1/H6</f>
      </c>
      <c r="C12">
        <f>1/H7</f>
      </c>
      <c r="D12">
        <f>1/H8</f>
      </c>
      <c r="E12">
        <f>1/H9</f>
      </c>
      <c r="F12">
        <f>1/H10</f>
      </c>
      <c r="G12">
        <f>1/H11</f>
      </c>
      <c r="H12">
        <v>1</v>
      </c>
      <c r="I12">
        <f>IF('INPUT_CP4'!D44="A",'INPUT_CP4'!E44,1/'INPUT_CP4'!E44)</f>
      </c>
      <c r="J12">
        <f>IF('INPUT_CP4'!D45="A",'INPUT_CP4'!E45,1/'INPUT_CP4'!E45)</f>
      </c>
      <c r="K12">
        <f>IF('INPUT_CP4'!D46="A",'INPUT_CP4'!E46,1/'INPUT_CP4'!E46)</f>
      </c>
    </row>
    <row r="13">
      <c r="A13" t="str">
        <v>R7</v>
      </c>
      <c r="B13">
        <f>1/I6</f>
      </c>
      <c r="C13">
        <f>1/I7</f>
      </c>
      <c r="D13">
        <f>1/I8</f>
      </c>
      <c r="E13">
        <f>1/I9</f>
      </c>
      <c r="F13">
        <f>1/I10</f>
      </c>
      <c r="G13">
        <f>1/I11</f>
      </c>
      <c r="H13">
        <f>1/I12</f>
      </c>
      <c r="I13">
        <v>1</v>
      </c>
      <c r="J13">
        <f>IF('INPUT_CP4'!D47="A",'INPUT_CP4'!E47,1/'INPUT_CP4'!E47)</f>
      </c>
      <c r="K13">
        <f>IF('INPUT_CP4'!D48="A",'INPUT_CP4'!E48,1/'INPUT_CP4'!E48)</f>
      </c>
    </row>
    <row r="14">
      <c r="A14" t="str">
        <v>R8</v>
      </c>
      <c r="B14">
        <f>1/J6</f>
      </c>
      <c r="C14">
        <f>1/J7</f>
      </c>
      <c r="D14">
        <f>1/J8</f>
      </c>
      <c r="E14">
        <f>1/J9</f>
      </c>
      <c r="F14">
        <f>1/J10</f>
      </c>
      <c r="G14">
        <f>1/J11</f>
      </c>
      <c r="H14">
        <f>1/J12</f>
      </c>
      <c r="I14">
        <f>1/J13</f>
      </c>
      <c r="J14">
        <v>1</v>
      </c>
      <c r="K14">
        <f>IF('INPUT_CP4'!D49="A",'INPUT_CP4'!E49,1/'INPUT_CP4'!E49)</f>
      </c>
    </row>
    <row r="15">
      <c r="A15" t="str">
        <v>R9</v>
      </c>
      <c r="B15">
        <f>1/K6</f>
      </c>
      <c r="C15">
        <f>1/K7</f>
      </c>
      <c r="D15">
        <f>1/K8</f>
      </c>
      <c r="E15">
        <f>1/K9</f>
      </c>
      <c r="F15">
        <f>1/K10</f>
      </c>
      <c r="G15">
        <f>1/K11</f>
      </c>
      <c r="H15">
        <f>1/K12</f>
      </c>
      <c r="I15">
        <f>1/K13</f>
      </c>
      <c r="J15">
        <f>1/K14</f>
      </c>
      <c r="K15">
        <v>1</v>
      </c>
    </row>
    <row r="17">
      <c r="A17" t="str">
        <v>Jumlah Kolom</v>
      </c>
      <c r="B17">
        <f>SUM(B7:B16)</f>
      </c>
      <c r="C17">
        <f>SUM(C7:C16)</f>
      </c>
      <c r="D17">
        <f>SUM(D7:D16)</f>
      </c>
      <c r="E17">
        <f>SUM(E7:E16)</f>
      </c>
      <c r="F17">
        <f>SUM(F7:F16)</f>
      </c>
      <c r="G17">
        <f>SUM(G7:G16)</f>
      </c>
      <c r="H17">
        <f>SUM(H7:H16)</f>
      </c>
      <c r="I17">
        <f>SUM(I7:I16)</f>
      </c>
      <c r="J17">
        <f>SUM(J7:J16)</f>
      </c>
      <c r="K17">
        <f>SUM(K7:K16)</f>
      </c>
    </row>
  </sheetData>
  <ignoredErrors>
    <ignoredError numberStoredAsText="1" sqref="A1:L1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8.83203125" customWidth="1"/>
  </cols>
  <sheetData>
    <row r="1">
      <c r="A1" t="str">
        <v>NORMALISASI &amp; BOBOT PRIORITAS — Level 2 — Sub-Kriteria CP4</v>
      </c>
    </row>
    <row r="2">
      <c r="A2" t="str">
        <v>Normalisasi kolom: setiap sel dibagi jumlah kolomnya</v>
      </c>
    </row>
    <row r="4">
      <c r="A4" t="str">
        <v/>
      </c>
      <c r="B4" t="str">
        <v>R1</v>
      </c>
      <c r="C4" t="str">
        <v>R10</v>
      </c>
      <c r="D4" t="str">
        <v>R2</v>
      </c>
      <c r="E4" t="str">
        <v>R3</v>
      </c>
      <c r="F4" t="str">
        <v>R4</v>
      </c>
      <c r="G4" t="str">
        <v>R5</v>
      </c>
      <c r="H4" t="str">
        <v>R6</v>
      </c>
      <c r="I4" t="str">
        <v>R7</v>
      </c>
      <c r="J4" t="str">
        <v>R8</v>
      </c>
      <c r="K4" t="str">
        <v>R9</v>
      </c>
      <c r="L4" t="str">
        <v>Rata-rata (Bobot)</v>
      </c>
    </row>
    <row r="5">
      <c r="A5" t="str">
        <v>R1</v>
      </c>
      <c r="B5">
        <f>'MATRIKS_CP4'!B6/'MATRIKS_CP4'!B17</f>
      </c>
      <c r="C5">
        <f>'MATRIKS_CP4'!C6/'MATRIKS_CP4'!C17</f>
      </c>
      <c r="D5">
        <f>'MATRIKS_CP4'!D6/'MATRIKS_CP4'!D17</f>
      </c>
      <c r="E5">
        <f>'MATRIKS_CP4'!E6/'MATRIKS_CP4'!E17</f>
      </c>
      <c r="F5">
        <f>'MATRIKS_CP4'!F6/'MATRIKS_CP4'!F17</f>
      </c>
      <c r="G5">
        <f>'MATRIKS_CP4'!G6/'MATRIKS_CP4'!G17</f>
      </c>
      <c r="H5">
        <f>'MATRIKS_CP4'!H6/'MATRIKS_CP4'!H17</f>
      </c>
      <c r="I5">
        <f>'MATRIKS_CP4'!I6/'MATRIKS_CP4'!I17</f>
      </c>
      <c r="J5">
        <f>'MATRIKS_CP4'!J6/'MATRIKS_CP4'!J17</f>
      </c>
      <c r="K5">
        <f>'MATRIKS_CP4'!K6/'MATRIKS_CP4'!K17</f>
      </c>
      <c r="L5">
        <f>AVERAGE(B5:K5)</f>
      </c>
    </row>
    <row r="6">
      <c r="A6" t="str">
        <v>R10</v>
      </c>
      <c r="B6">
        <f>'MATRIKS_CP4'!B7/'MATRIKS_CP4'!B17</f>
      </c>
      <c r="C6">
        <f>'MATRIKS_CP4'!C7/'MATRIKS_CP4'!C17</f>
      </c>
      <c r="D6">
        <f>'MATRIKS_CP4'!D7/'MATRIKS_CP4'!D17</f>
      </c>
      <c r="E6">
        <f>'MATRIKS_CP4'!E7/'MATRIKS_CP4'!E17</f>
      </c>
      <c r="F6">
        <f>'MATRIKS_CP4'!F7/'MATRIKS_CP4'!F17</f>
      </c>
      <c r="G6">
        <f>'MATRIKS_CP4'!G7/'MATRIKS_CP4'!G17</f>
      </c>
      <c r="H6">
        <f>'MATRIKS_CP4'!H7/'MATRIKS_CP4'!H17</f>
      </c>
      <c r="I6">
        <f>'MATRIKS_CP4'!I7/'MATRIKS_CP4'!I17</f>
      </c>
      <c r="J6">
        <f>'MATRIKS_CP4'!J7/'MATRIKS_CP4'!J17</f>
      </c>
      <c r="K6">
        <f>'MATRIKS_CP4'!K7/'MATRIKS_CP4'!K17</f>
      </c>
      <c r="L6">
        <f>AVERAGE(B6:K6)</f>
      </c>
    </row>
    <row r="7">
      <c r="A7" t="str">
        <v>R2</v>
      </c>
      <c r="B7">
        <f>'MATRIKS_CP4'!B8/'MATRIKS_CP4'!B17</f>
      </c>
      <c r="C7">
        <f>'MATRIKS_CP4'!C8/'MATRIKS_CP4'!C17</f>
      </c>
      <c r="D7">
        <f>'MATRIKS_CP4'!D8/'MATRIKS_CP4'!D17</f>
      </c>
      <c r="E7">
        <f>'MATRIKS_CP4'!E8/'MATRIKS_CP4'!E17</f>
      </c>
      <c r="F7">
        <f>'MATRIKS_CP4'!F8/'MATRIKS_CP4'!F17</f>
      </c>
      <c r="G7">
        <f>'MATRIKS_CP4'!G8/'MATRIKS_CP4'!G17</f>
      </c>
      <c r="H7">
        <f>'MATRIKS_CP4'!H8/'MATRIKS_CP4'!H17</f>
      </c>
      <c r="I7">
        <f>'MATRIKS_CP4'!I8/'MATRIKS_CP4'!I17</f>
      </c>
      <c r="J7">
        <f>'MATRIKS_CP4'!J8/'MATRIKS_CP4'!J17</f>
      </c>
      <c r="K7">
        <f>'MATRIKS_CP4'!K8/'MATRIKS_CP4'!K17</f>
      </c>
      <c r="L7">
        <f>AVERAGE(B7:K7)</f>
      </c>
    </row>
    <row r="8">
      <c r="A8" t="str">
        <v>R3</v>
      </c>
      <c r="B8">
        <f>'MATRIKS_CP4'!B9/'MATRIKS_CP4'!B17</f>
      </c>
      <c r="C8">
        <f>'MATRIKS_CP4'!C9/'MATRIKS_CP4'!C17</f>
      </c>
      <c r="D8">
        <f>'MATRIKS_CP4'!D9/'MATRIKS_CP4'!D17</f>
      </c>
      <c r="E8">
        <f>'MATRIKS_CP4'!E9/'MATRIKS_CP4'!E17</f>
      </c>
      <c r="F8">
        <f>'MATRIKS_CP4'!F9/'MATRIKS_CP4'!F17</f>
      </c>
      <c r="G8">
        <f>'MATRIKS_CP4'!G9/'MATRIKS_CP4'!G17</f>
      </c>
      <c r="H8">
        <f>'MATRIKS_CP4'!H9/'MATRIKS_CP4'!H17</f>
      </c>
      <c r="I8">
        <f>'MATRIKS_CP4'!I9/'MATRIKS_CP4'!I17</f>
      </c>
      <c r="J8">
        <f>'MATRIKS_CP4'!J9/'MATRIKS_CP4'!J17</f>
      </c>
      <c r="K8">
        <f>'MATRIKS_CP4'!K9/'MATRIKS_CP4'!K17</f>
      </c>
      <c r="L8">
        <f>AVERAGE(B8:K8)</f>
      </c>
    </row>
    <row r="9">
      <c r="A9" t="str">
        <v>R4</v>
      </c>
      <c r="B9">
        <f>'MATRIKS_CP4'!B10/'MATRIKS_CP4'!B17</f>
      </c>
      <c r="C9">
        <f>'MATRIKS_CP4'!C10/'MATRIKS_CP4'!C17</f>
      </c>
      <c r="D9">
        <f>'MATRIKS_CP4'!D10/'MATRIKS_CP4'!D17</f>
      </c>
      <c r="E9">
        <f>'MATRIKS_CP4'!E10/'MATRIKS_CP4'!E17</f>
      </c>
      <c r="F9">
        <f>'MATRIKS_CP4'!F10/'MATRIKS_CP4'!F17</f>
      </c>
      <c r="G9">
        <f>'MATRIKS_CP4'!G10/'MATRIKS_CP4'!G17</f>
      </c>
      <c r="H9">
        <f>'MATRIKS_CP4'!H10/'MATRIKS_CP4'!H17</f>
      </c>
      <c r="I9">
        <f>'MATRIKS_CP4'!I10/'MATRIKS_CP4'!I17</f>
      </c>
      <c r="J9">
        <f>'MATRIKS_CP4'!J10/'MATRIKS_CP4'!J17</f>
      </c>
      <c r="K9">
        <f>'MATRIKS_CP4'!K10/'MATRIKS_CP4'!K17</f>
      </c>
      <c r="L9">
        <f>AVERAGE(B9:K9)</f>
      </c>
    </row>
    <row r="10">
      <c r="A10" t="str">
        <v>R5</v>
      </c>
      <c r="B10">
        <f>'MATRIKS_CP4'!B11/'MATRIKS_CP4'!B17</f>
      </c>
      <c r="C10">
        <f>'MATRIKS_CP4'!C11/'MATRIKS_CP4'!C17</f>
      </c>
      <c r="D10">
        <f>'MATRIKS_CP4'!D11/'MATRIKS_CP4'!D17</f>
      </c>
      <c r="E10">
        <f>'MATRIKS_CP4'!E11/'MATRIKS_CP4'!E17</f>
      </c>
      <c r="F10">
        <f>'MATRIKS_CP4'!F11/'MATRIKS_CP4'!F17</f>
      </c>
      <c r="G10">
        <f>'MATRIKS_CP4'!G11/'MATRIKS_CP4'!G17</f>
      </c>
      <c r="H10">
        <f>'MATRIKS_CP4'!H11/'MATRIKS_CP4'!H17</f>
      </c>
      <c r="I10">
        <f>'MATRIKS_CP4'!I11/'MATRIKS_CP4'!I17</f>
      </c>
      <c r="J10">
        <f>'MATRIKS_CP4'!J11/'MATRIKS_CP4'!J17</f>
      </c>
      <c r="K10">
        <f>'MATRIKS_CP4'!K11/'MATRIKS_CP4'!K17</f>
      </c>
      <c r="L10">
        <f>AVERAGE(B10:K10)</f>
      </c>
    </row>
    <row r="11">
      <c r="A11" t="str">
        <v>R6</v>
      </c>
      <c r="B11">
        <f>'MATRIKS_CP4'!B12/'MATRIKS_CP4'!B17</f>
      </c>
      <c r="C11">
        <f>'MATRIKS_CP4'!C12/'MATRIKS_CP4'!C17</f>
      </c>
      <c r="D11">
        <f>'MATRIKS_CP4'!D12/'MATRIKS_CP4'!D17</f>
      </c>
      <c r="E11">
        <f>'MATRIKS_CP4'!E12/'MATRIKS_CP4'!E17</f>
      </c>
      <c r="F11">
        <f>'MATRIKS_CP4'!F12/'MATRIKS_CP4'!F17</f>
      </c>
      <c r="G11">
        <f>'MATRIKS_CP4'!G12/'MATRIKS_CP4'!G17</f>
      </c>
      <c r="H11">
        <f>'MATRIKS_CP4'!H12/'MATRIKS_CP4'!H17</f>
      </c>
      <c r="I11">
        <f>'MATRIKS_CP4'!I12/'MATRIKS_CP4'!I17</f>
      </c>
      <c r="J11">
        <f>'MATRIKS_CP4'!J12/'MATRIKS_CP4'!J17</f>
      </c>
      <c r="K11">
        <f>'MATRIKS_CP4'!K12/'MATRIKS_CP4'!K17</f>
      </c>
      <c r="L11">
        <f>AVERAGE(B11:K11)</f>
      </c>
    </row>
    <row r="12">
      <c r="A12" t="str">
        <v>R7</v>
      </c>
      <c r="B12">
        <f>'MATRIKS_CP4'!B13/'MATRIKS_CP4'!B17</f>
      </c>
      <c r="C12">
        <f>'MATRIKS_CP4'!C13/'MATRIKS_CP4'!C17</f>
      </c>
      <c r="D12">
        <f>'MATRIKS_CP4'!D13/'MATRIKS_CP4'!D17</f>
      </c>
      <c r="E12">
        <f>'MATRIKS_CP4'!E13/'MATRIKS_CP4'!E17</f>
      </c>
      <c r="F12">
        <f>'MATRIKS_CP4'!F13/'MATRIKS_CP4'!F17</f>
      </c>
      <c r="G12">
        <f>'MATRIKS_CP4'!G13/'MATRIKS_CP4'!G17</f>
      </c>
      <c r="H12">
        <f>'MATRIKS_CP4'!H13/'MATRIKS_CP4'!H17</f>
      </c>
      <c r="I12">
        <f>'MATRIKS_CP4'!I13/'MATRIKS_CP4'!I17</f>
      </c>
      <c r="J12">
        <f>'MATRIKS_CP4'!J13/'MATRIKS_CP4'!J17</f>
      </c>
      <c r="K12">
        <f>'MATRIKS_CP4'!K13/'MATRIKS_CP4'!K17</f>
      </c>
      <c r="L12">
        <f>AVERAGE(B12:K12)</f>
      </c>
    </row>
    <row r="13">
      <c r="A13" t="str">
        <v>R8</v>
      </c>
      <c r="B13">
        <f>'MATRIKS_CP4'!B14/'MATRIKS_CP4'!B17</f>
      </c>
      <c r="C13">
        <f>'MATRIKS_CP4'!C14/'MATRIKS_CP4'!C17</f>
      </c>
      <c r="D13">
        <f>'MATRIKS_CP4'!D14/'MATRIKS_CP4'!D17</f>
      </c>
      <c r="E13">
        <f>'MATRIKS_CP4'!E14/'MATRIKS_CP4'!E17</f>
      </c>
      <c r="F13">
        <f>'MATRIKS_CP4'!F14/'MATRIKS_CP4'!F17</f>
      </c>
      <c r="G13">
        <f>'MATRIKS_CP4'!G14/'MATRIKS_CP4'!G17</f>
      </c>
      <c r="H13">
        <f>'MATRIKS_CP4'!H14/'MATRIKS_CP4'!H17</f>
      </c>
      <c r="I13">
        <f>'MATRIKS_CP4'!I14/'MATRIKS_CP4'!I17</f>
      </c>
      <c r="J13">
        <f>'MATRIKS_CP4'!J14/'MATRIKS_CP4'!J17</f>
      </c>
      <c r="K13">
        <f>'MATRIKS_CP4'!K14/'MATRIKS_CP4'!K17</f>
      </c>
      <c r="L13">
        <f>AVERAGE(B13:K13)</f>
      </c>
    </row>
    <row r="14">
      <c r="A14" t="str">
        <v>R9</v>
      </c>
      <c r="B14">
        <f>'MATRIKS_CP4'!B15/'MATRIKS_CP4'!B17</f>
      </c>
      <c r="C14">
        <f>'MATRIKS_CP4'!C15/'MATRIKS_CP4'!C17</f>
      </c>
      <c r="D14">
        <f>'MATRIKS_CP4'!D15/'MATRIKS_CP4'!D17</f>
      </c>
      <c r="E14">
        <f>'MATRIKS_CP4'!E15/'MATRIKS_CP4'!E17</f>
      </c>
      <c r="F14">
        <f>'MATRIKS_CP4'!F15/'MATRIKS_CP4'!F17</f>
      </c>
      <c r="G14">
        <f>'MATRIKS_CP4'!G15/'MATRIKS_CP4'!G17</f>
      </c>
      <c r="H14">
        <f>'MATRIKS_CP4'!H15/'MATRIKS_CP4'!H17</f>
      </c>
      <c r="I14">
        <f>'MATRIKS_CP4'!I15/'MATRIKS_CP4'!I17</f>
      </c>
      <c r="J14">
        <f>'MATRIKS_CP4'!J15/'MATRIKS_CP4'!J17</f>
      </c>
      <c r="K14">
        <f>'MATRIKS_CP4'!K15/'MATRIKS_CP4'!K17</f>
      </c>
      <c r="L14">
        <f>AVERAGE(B14:K14)</f>
      </c>
    </row>
    <row r="16">
      <c r="K16" t="str">
        <v>Total</v>
      </c>
      <c r="L16">
        <f>SUM(L5:L14)</f>
      </c>
    </row>
  </sheetData>
  <ignoredErrors>
    <ignoredError numberStoredAsText="1" sqref="A1:M1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CP4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R1</v>
      </c>
      <c r="B6">
        <f>'NORM_CP4'!L5</f>
      </c>
      <c r="C6">
        <f>SUMPRODUCT('MATRIKS_CP4'!B6:'MATRIKS_CP4'!K6,$B6:$B15)</f>
      </c>
      <c r="D6">
        <f>C6/B6</f>
      </c>
    </row>
    <row r="7">
      <c r="A7" t="str">
        <v>R10</v>
      </c>
      <c r="B7">
        <f>'NORM_CP4'!L6</f>
      </c>
      <c r="C7">
        <f>SUMPRODUCT('MATRIKS_CP4'!B7:'MATRIKS_CP4'!K7,$B6:$B15)</f>
      </c>
      <c r="D7">
        <f>C7/B7</f>
      </c>
    </row>
    <row r="8">
      <c r="A8" t="str">
        <v>R2</v>
      </c>
      <c r="B8">
        <f>'NORM_CP4'!L7</f>
      </c>
      <c r="C8">
        <f>SUMPRODUCT('MATRIKS_CP4'!B8:'MATRIKS_CP4'!K8,$B6:$B15)</f>
      </c>
      <c r="D8">
        <f>C8/B8</f>
      </c>
    </row>
    <row r="9">
      <c r="A9" t="str">
        <v>R3</v>
      </c>
      <c r="B9">
        <f>'NORM_CP4'!L8</f>
      </c>
      <c r="C9">
        <f>SUMPRODUCT('MATRIKS_CP4'!B9:'MATRIKS_CP4'!K9,$B6:$B15)</f>
      </c>
      <c r="D9">
        <f>C9/B9</f>
      </c>
    </row>
    <row r="10">
      <c r="A10" t="str">
        <v>R4</v>
      </c>
      <c r="B10">
        <f>'NORM_CP4'!L9</f>
      </c>
      <c r="C10">
        <f>SUMPRODUCT('MATRIKS_CP4'!B10:'MATRIKS_CP4'!K10,$B6:$B15)</f>
      </c>
      <c r="D10">
        <f>C10/B10</f>
      </c>
    </row>
    <row r="11">
      <c r="A11" t="str">
        <v>R5</v>
      </c>
      <c r="B11">
        <f>'NORM_CP4'!L10</f>
      </c>
      <c r="C11">
        <f>SUMPRODUCT('MATRIKS_CP4'!B11:'MATRIKS_CP4'!K11,$B6:$B15)</f>
      </c>
      <c r="D11">
        <f>C11/B11</f>
      </c>
    </row>
    <row r="12">
      <c r="A12" t="str">
        <v>R6</v>
      </c>
      <c r="B12">
        <f>'NORM_CP4'!L11</f>
      </c>
      <c r="C12">
        <f>SUMPRODUCT('MATRIKS_CP4'!B12:'MATRIKS_CP4'!K12,$B6:$B15)</f>
      </c>
      <c r="D12">
        <f>C12/B12</f>
      </c>
    </row>
    <row r="13">
      <c r="A13" t="str">
        <v>R7</v>
      </c>
      <c r="B13">
        <f>'NORM_CP4'!L12</f>
      </c>
      <c r="C13">
        <f>SUMPRODUCT('MATRIKS_CP4'!B13:'MATRIKS_CP4'!K13,$B6:$B15)</f>
      </c>
      <c r="D13">
        <f>C13/B13</f>
      </c>
    </row>
    <row r="14">
      <c r="A14" t="str">
        <v>R8</v>
      </c>
      <c r="B14">
        <f>'NORM_CP4'!L13</f>
      </c>
      <c r="C14">
        <f>SUMPRODUCT('MATRIKS_CP4'!B14:'MATRIKS_CP4'!K14,$B6:$B15)</f>
      </c>
      <c r="D14">
        <f>C14/B14</f>
      </c>
    </row>
    <row r="15">
      <c r="A15" t="str">
        <v>R9</v>
      </c>
      <c r="B15">
        <f>'NORM_CP4'!L14</f>
      </c>
      <c r="C15">
        <f>SUMPRODUCT('MATRIKS_CP4'!B15:'MATRIKS_CP4'!K15,$B6:$B15)</f>
      </c>
      <c r="D15">
        <f>C15/B15</f>
      </c>
    </row>
    <row r="18">
      <c r="A18" t="str">
        <v>LANGKAH 2: Perhitungan λmax, CI, CR</v>
      </c>
    </row>
    <row r="19">
      <c r="A19" t="str">
        <v>n (jumlah kriteria)</v>
      </c>
      <c r="B19">
        <v>10</v>
      </c>
    </row>
    <row r="20">
      <c r="A20" t="str">
        <v>λmax</v>
      </c>
      <c r="B20">
        <f>AVERAGE(D6:D15)</f>
      </c>
    </row>
    <row r="21">
      <c r="A21" t="str">
        <v>CI (Consistency Index)</v>
      </c>
      <c r="B21">
        <f>(B20-B19)/(B19-1)</f>
      </c>
    </row>
    <row r="22">
      <c r="A22" t="str">
        <v>RI (Random Index)</v>
      </c>
      <c r="B22">
        <v>1.49</v>
      </c>
    </row>
    <row r="23">
      <c r="A23" t="str">
        <v>CR (Consistency Ratio)</v>
      </c>
      <c r="B23">
        <f>B21/B22</f>
      </c>
    </row>
    <row r="25">
      <c r="A25" t="str">
        <v>KESIMPULAN</v>
      </c>
      <c r="B25">
        <f>IF(B23&lt;0.1,"KONSISTEN ✓ (CR &lt; 0.10)","TIDAK KONSISTEN ✗ (CR ≥ 0.10, perlu revisi)")</f>
      </c>
    </row>
    <row r="27">
      <c r="A27" t="str">
        <v>Catatan:</v>
      </c>
    </row>
    <row r="28">
      <c r="A28" t="str">
        <v>• CR &lt; 0.10 → Matriks dianggap konsisten</v>
      </c>
    </row>
    <row r="29">
      <c r="A29" t="str">
        <v>• CR ≥ 0.10 → Matriks TIDAK konsisten, perlu revisi penilaian</v>
      </c>
    </row>
    <row r="30">
      <c r="A30" t="str">
        <v>• λmax ideal ≈ n (jumlah kriteria)</v>
      </c>
    </row>
  </sheetData>
  <ignoredErrors>
    <ignoredError numberStoredAsText="1" sqref="A1:E3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MATRIKS TFN FUZZY — Level 2 — Sub-Kriteria CP4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R1</v>
      </c>
      <c r="C19" t="str">
        <v>R10</v>
      </c>
      <c r="D19" t="str">
        <v>R2</v>
      </c>
      <c r="E19" t="str">
        <v>R3</v>
      </c>
      <c r="F19" t="str">
        <v>R4</v>
      </c>
      <c r="G19" t="str">
        <v>R5</v>
      </c>
      <c r="H19" t="str">
        <v>R6</v>
      </c>
      <c r="I19" t="str">
        <v>R7</v>
      </c>
      <c r="J19" t="str">
        <v>R8</v>
      </c>
      <c r="K19" t="str">
        <v>R9</v>
      </c>
    </row>
    <row r="20">
      <c r="A20" t="str">
        <v>R1</v>
      </c>
      <c r="B20">
        <v>1</v>
      </c>
      <c r="C20">
        <f>IF('INPUT_CP4'!D5="A",VLOOKUP('INPUT_CP4'!E5,$A$7:$D$15,2,FALSE),1/VLOOKUP('INPUT_CP4'!E5,$A$7:$D$15,4,FALSE))</f>
      </c>
      <c r="D20">
        <f>IF('INPUT_CP4'!D6="A",VLOOKUP('INPUT_CP4'!E6,$A$7:$D$15,2,FALSE),1/VLOOKUP('INPUT_CP4'!E6,$A$7:$D$15,4,FALSE))</f>
      </c>
      <c r="E20">
        <f>IF('INPUT_CP4'!D7="A",VLOOKUP('INPUT_CP4'!E7,$A$7:$D$15,2,FALSE),1/VLOOKUP('INPUT_CP4'!E7,$A$7:$D$15,4,FALSE))</f>
      </c>
      <c r="F20">
        <f>IF('INPUT_CP4'!D8="A",VLOOKUP('INPUT_CP4'!E8,$A$7:$D$15,2,FALSE),1/VLOOKUP('INPUT_CP4'!E8,$A$7:$D$15,4,FALSE))</f>
      </c>
      <c r="G20">
        <f>IF('INPUT_CP4'!D9="A",VLOOKUP('INPUT_CP4'!E9,$A$7:$D$15,2,FALSE),1/VLOOKUP('INPUT_CP4'!E9,$A$7:$D$15,4,FALSE))</f>
      </c>
      <c r="H20">
        <f>IF('INPUT_CP4'!D10="A",VLOOKUP('INPUT_CP4'!E10,$A$7:$D$15,2,FALSE),1/VLOOKUP('INPUT_CP4'!E10,$A$7:$D$15,4,FALSE))</f>
      </c>
      <c r="I20">
        <f>IF('INPUT_CP4'!D11="A",VLOOKUP('INPUT_CP4'!E11,$A$7:$D$15,2,FALSE),1/VLOOKUP('INPUT_CP4'!E11,$A$7:$D$15,4,FALSE))</f>
      </c>
      <c r="J20">
        <f>IF('INPUT_CP4'!D12="A",VLOOKUP('INPUT_CP4'!E12,$A$7:$D$15,2,FALSE),1/VLOOKUP('INPUT_CP4'!E12,$A$7:$D$15,4,FALSE))</f>
      </c>
      <c r="K20">
        <f>IF('INPUT_CP4'!D13="A",VLOOKUP('INPUT_CP4'!E13,$A$7:$D$15,2,FALSE),1/VLOOKUP('INPUT_CP4'!E13,$A$7:$D$15,4,FALSE))</f>
      </c>
      <c r="L20" t="str">
        <v>Σ Baris</v>
      </c>
    </row>
    <row r="21">
      <c r="A21" t="str">
        <v>R10</v>
      </c>
      <c r="B21">
        <f>IF('INPUT_CP4'!D5="A",1/VLOOKUP('INPUT_CP4'!E5,$A$7:$D$15,4,FALSE),VLOOKUP('INPUT_CP4'!E5,$A$7:$D$15,2,FALSE))</f>
      </c>
      <c r="C21">
        <v>1</v>
      </c>
      <c r="D21">
        <f>IF('INPUT_CP4'!D14="A",VLOOKUP('INPUT_CP4'!E14,$A$7:$D$15,2,FALSE),1/VLOOKUP('INPUT_CP4'!E14,$A$7:$D$15,4,FALSE))</f>
      </c>
      <c r="E21">
        <f>IF('INPUT_CP4'!D15="A",VLOOKUP('INPUT_CP4'!E15,$A$7:$D$15,2,FALSE),1/VLOOKUP('INPUT_CP4'!E15,$A$7:$D$15,4,FALSE))</f>
      </c>
      <c r="F21">
        <f>IF('INPUT_CP4'!D16="A",VLOOKUP('INPUT_CP4'!E16,$A$7:$D$15,2,FALSE),1/VLOOKUP('INPUT_CP4'!E16,$A$7:$D$15,4,FALSE))</f>
      </c>
      <c r="G21">
        <f>IF('INPUT_CP4'!D17="A",VLOOKUP('INPUT_CP4'!E17,$A$7:$D$15,2,FALSE),1/VLOOKUP('INPUT_CP4'!E17,$A$7:$D$15,4,FALSE))</f>
      </c>
      <c r="H21">
        <f>IF('INPUT_CP4'!D18="A",VLOOKUP('INPUT_CP4'!E18,$A$7:$D$15,2,FALSE),1/VLOOKUP('INPUT_CP4'!E18,$A$7:$D$15,4,FALSE))</f>
      </c>
      <c r="I21">
        <f>IF('INPUT_CP4'!D19="A",VLOOKUP('INPUT_CP4'!E19,$A$7:$D$15,2,FALSE),1/VLOOKUP('INPUT_CP4'!E19,$A$7:$D$15,4,FALSE))</f>
      </c>
      <c r="J21">
        <f>IF('INPUT_CP4'!D20="A",VLOOKUP('INPUT_CP4'!E20,$A$7:$D$15,2,FALSE),1/VLOOKUP('INPUT_CP4'!E20,$A$7:$D$15,4,FALSE))</f>
      </c>
      <c r="K21">
        <f>IF('INPUT_CP4'!D21="A",VLOOKUP('INPUT_CP4'!E21,$A$7:$D$15,2,FALSE),1/VLOOKUP('INPUT_CP4'!E21,$A$7:$D$15,4,FALSE))</f>
      </c>
      <c r="L21">
        <f>SUM(B21:K21)</f>
      </c>
    </row>
    <row r="22">
      <c r="A22" t="str">
        <v>R2</v>
      </c>
      <c r="B22">
        <f>IF('INPUT_CP4'!D6="A",1/VLOOKUP('INPUT_CP4'!E6,$A$7:$D$15,4,FALSE),VLOOKUP('INPUT_CP4'!E6,$A$7:$D$15,2,FALSE))</f>
      </c>
      <c r="C22">
        <f>IF('INPUT_CP4'!D14="A",1/VLOOKUP('INPUT_CP4'!E14,$A$7:$D$15,4,FALSE),VLOOKUP('INPUT_CP4'!E14,$A$7:$D$15,2,FALSE))</f>
      </c>
      <c r="D22">
        <v>1</v>
      </c>
      <c r="E22">
        <f>IF('INPUT_CP4'!D22="A",VLOOKUP('INPUT_CP4'!E22,$A$7:$D$15,2,FALSE),1/VLOOKUP('INPUT_CP4'!E22,$A$7:$D$15,4,FALSE))</f>
      </c>
      <c r="F22">
        <f>IF('INPUT_CP4'!D23="A",VLOOKUP('INPUT_CP4'!E23,$A$7:$D$15,2,FALSE),1/VLOOKUP('INPUT_CP4'!E23,$A$7:$D$15,4,FALSE))</f>
      </c>
      <c r="G22">
        <f>IF('INPUT_CP4'!D24="A",VLOOKUP('INPUT_CP4'!E24,$A$7:$D$15,2,FALSE),1/VLOOKUP('INPUT_CP4'!E24,$A$7:$D$15,4,FALSE))</f>
      </c>
      <c r="H22">
        <f>IF('INPUT_CP4'!D25="A",VLOOKUP('INPUT_CP4'!E25,$A$7:$D$15,2,FALSE),1/VLOOKUP('INPUT_CP4'!E25,$A$7:$D$15,4,FALSE))</f>
      </c>
      <c r="I22">
        <f>IF('INPUT_CP4'!D26="A",VLOOKUP('INPUT_CP4'!E26,$A$7:$D$15,2,FALSE),1/VLOOKUP('INPUT_CP4'!E26,$A$7:$D$15,4,FALSE))</f>
      </c>
      <c r="J22">
        <f>IF('INPUT_CP4'!D27="A",VLOOKUP('INPUT_CP4'!E27,$A$7:$D$15,2,FALSE),1/VLOOKUP('INPUT_CP4'!E27,$A$7:$D$15,4,FALSE))</f>
      </c>
      <c r="K22">
        <f>IF('INPUT_CP4'!D28="A",VLOOKUP('INPUT_CP4'!E28,$A$7:$D$15,2,FALSE),1/VLOOKUP('INPUT_CP4'!E28,$A$7:$D$15,4,FALSE))</f>
      </c>
      <c r="L22">
        <f>SUM(B22:K22)</f>
      </c>
    </row>
    <row r="23">
      <c r="A23" t="str">
        <v>R3</v>
      </c>
      <c r="B23">
        <f>IF('INPUT_CP4'!D7="A",1/VLOOKUP('INPUT_CP4'!E7,$A$7:$D$15,4,FALSE),VLOOKUP('INPUT_CP4'!E7,$A$7:$D$15,2,FALSE))</f>
      </c>
      <c r="C23">
        <f>IF('INPUT_CP4'!D15="A",1/VLOOKUP('INPUT_CP4'!E15,$A$7:$D$15,4,FALSE),VLOOKUP('INPUT_CP4'!E15,$A$7:$D$15,2,FALSE))</f>
      </c>
      <c r="D23">
        <f>IF('INPUT_CP4'!D22="A",1/VLOOKUP('INPUT_CP4'!E22,$A$7:$D$15,4,FALSE),VLOOKUP('INPUT_CP4'!E22,$A$7:$D$15,2,FALSE))</f>
      </c>
      <c r="E23">
        <v>1</v>
      </c>
      <c r="F23">
        <f>IF('INPUT_CP4'!D29="A",VLOOKUP('INPUT_CP4'!E29,$A$7:$D$15,2,FALSE),1/VLOOKUP('INPUT_CP4'!E29,$A$7:$D$15,4,FALSE))</f>
      </c>
      <c r="G23">
        <f>IF('INPUT_CP4'!D30="A",VLOOKUP('INPUT_CP4'!E30,$A$7:$D$15,2,FALSE),1/VLOOKUP('INPUT_CP4'!E30,$A$7:$D$15,4,FALSE))</f>
      </c>
      <c r="H23">
        <f>IF('INPUT_CP4'!D31="A",VLOOKUP('INPUT_CP4'!E31,$A$7:$D$15,2,FALSE),1/VLOOKUP('INPUT_CP4'!E31,$A$7:$D$15,4,FALSE))</f>
      </c>
      <c r="I23">
        <f>IF('INPUT_CP4'!D32="A",VLOOKUP('INPUT_CP4'!E32,$A$7:$D$15,2,FALSE),1/VLOOKUP('INPUT_CP4'!E32,$A$7:$D$15,4,FALSE))</f>
      </c>
      <c r="J23">
        <f>IF('INPUT_CP4'!D33="A",VLOOKUP('INPUT_CP4'!E33,$A$7:$D$15,2,FALSE),1/VLOOKUP('INPUT_CP4'!E33,$A$7:$D$15,4,FALSE))</f>
      </c>
      <c r="K23">
        <f>IF('INPUT_CP4'!D34="A",VLOOKUP('INPUT_CP4'!E34,$A$7:$D$15,2,FALSE),1/VLOOKUP('INPUT_CP4'!E34,$A$7:$D$15,4,FALSE))</f>
      </c>
      <c r="L23">
        <f>SUM(B23:K23)</f>
      </c>
    </row>
    <row r="24">
      <c r="A24" t="str">
        <v>R4</v>
      </c>
      <c r="B24">
        <f>IF('INPUT_CP4'!D8="A",1/VLOOKUP('INPUT_CP4'!E8,$A$7:$D$15,4,FALSE),VLOOKUP('INPUT_CP4'!E8,$A$7:$D$15,2,FALSE))</f>
      </c>
      <c r="C24">
        <f>IF('INPUT_CP4'!D16="A",1/VLOOKUP('INPUT_CP4'!E16,$A$7:$D$15,4,FALSE),VLOOKUP('INPUT_CP4'!E16,$A$7:$D$15,2,FALSE))</f>
      </c>
      <c r="D24">
        <f>IF('INPUT_CP4'!D23="A",1/VLOOKUP('INPUT_CP4'!E23,$A$7:$D$15,4,FALSE),VLOOKUP('INPUT_CP4'!E23,$A$7:$D$15,2,FALSE))</f>
      </c>
      <c r="E24">
        <f>IF('INPUT_CP4'!D29="A",1/VLOOKUP('INPUT_CP4'!E29,$A$7:$D$15,4,FALSE),VLOOKUP('INPUT_CP4'!E29,$A$7:$D$15,2,FALSE))</f>
      </c>
      <c r="F24">
        <v>1</v>
      </c>
      <c r="G24">
        <f>IF('INPUT_CP4'!D35="A",VLOOKUP('INPUT_CP4'!E35,$A$7:$D$15,2,FALSE),1/VLOOKUP('INPUT_CP4'!E35,$A$7:$D$15,4,FALSE))</f>
      </c>
      <c r="H24">
        <f>IF('INPUT_CP4'!D36="A",VLOOKUP('INPUT_CP4'!E36,$A$7:$D$15,2,FALSE),1/VLOOKUP('INPUT_CP4'!E36,$A$7:$D$15,4,FALSE))</f>
      </c>
      <c r="I24">
        <f>IF('INPUT_CP4'!D37="A",VLOOKUP('INPUT_CP4'!E37,$A$7:$D$15,2,FALSE),1/VLOOKUP('INPUT_CP4'!E37,$A$7:$D$15,4,FALSE))</f>
      </c>
      <c r="J24">
        <f>IF('INPUT_CP4'!D38="A",VLOOKUP('INPUT_CP4'!E38,$A$7:$D$15,2,FALSE),1/VLOOKUP('INPUT_CP4'!E38,$A$7:$D$15,4,FALSE))</f>
      </c>
      <c r="K24">
        <f>IF('INPUT_CP4'!D39="A",VLOOKUP('INPUT_CP4'!E39,$A$7:$D$15,2,FALSE),1/VLOOKUP('INPUT_CP4'!E39,$A$7:$D$15,4,FALSE))</f>
      </c>
      <c r="L24">
        <f>SUM(B24:K24)</f>
      </c>
    </row>
    <row r="25">
      <c r="A25" t="str">
        <v>R5</v>
      </c>
      <c r="B25">
        <f>IF('INPUT_CP4'!D9="A",1/VLOOKUP('INPUT_CP4'!E9,$A$7:$D$15,4,FALSE),VLOOKUP('INPUT_CP4'!E9,$A$7:$D$15,2,FALSE))</f>
      </c>
      <c r="C25">
        <f>IF('INPUT_CP4'!D17="A",1/VLOOKUP('INPUT_CP4'!E17,$A$7:$D$15,4,FALSE),VLOOKUP('INPUT_CP4'!E17,$A$7:$D$15,2,FALSE))</f>
      </c>
      <c r="D25">
        <f>IF('INPUT_CP4'!D24="A",1/VLOOKUP('INPUT_CP4'!E24,$A$7:$D$15,4,FALSE),VLOOKUP('INPUT_CP4'!E24,$A$7:$D$15,2,FALSE))</f>
      </c>
      <c r="E25">
        <f>IF('INPUT_CP4'!D30="A",1/VLOOKUP('INPUT_CP4'!E30,$A$7:$D$15,4,FALSE),VLOOKUP('INPUT_CP4'!E30,$A$7:$D$15,2,FALSE))</f>
      </c>
      <c r="F25">
        <f>IF('INPUT_CP4'!D35="A",1/VLOOKUP('INPUT_CP4'!E35,$A$7:$D$15,4,FALSE),VLOOKUP('INPUT_CP4'!E35,$A$7:$D$15,2,FALSE))</f>
      </c>
      <c r="G25">
        <v>1</v>
      </c>
      <c r="H25">
        <f>IF('INPUT_CP4'!D40="A",VLOOKUP('INPUT_CP4'!E40,$A$7:$D$15,2,FALSE),1/VLOOKUP('INPUT_CP4'!E40,$A$7:$D$15,4,FALSE))</f>
      </c>
      <c r="I25">
        <f>IF('INPUT_CP4'!D41="A",VLOOKUP('INPUT_CP4'!E41,$A$7:$D$15,2,FALSE),1/VLOOKUP('INPUT_CP4'!E41,$A$7:$D$15,4,FALSE))</f>
      </c>
      <c r="J25">
        <f>IF('INPUT_CP4'!D42="A",VLOOKUP('INPUT_CP4'!E42,$A$7:$D$15,2,FALSE),1/VLOOKUP('INPUT_CP4'!E42,$A$7:$D$15,4,FALSE))</f>
      </c>
      <c r="K25">
        <f>IF('INPUT_CP4'!D43="A",VLOOKUP('INPUT_CP4'!E43,$A$7:$D$15,2,FALSE),1/VLOOKUP('INPUT_CP4'!E43,$A$7:$D$15,4,FALSE))</f>
      </c>
      <c r="L25">
        <f>SUM(B25:K25)</f>
      </c>
    </row>
    <row r="26">
      <c r="A26" t="str">
        <v>R6</v>
      </c>
      <c r="B26">
        <f>IF('INPUT_CP4'!D10="A",1/VLOOKUP('INPUT_CP4'!E10,$A$7:$D$15,4,FALSE),VLOOKUP('INPUT_CP4'!E10,$A$7:$D$15,2,FALSE))</f>
      </c>
      <c r="C26">
        <f>IF('INPUT_CP4'!D18="A",1/VLOOKUP('INPUT_CP4'!E18,$A$7:$D$15,4,FALSE),VLOOKUP('INPUT_CP4'!E18,$A$7:$D$15,2,FALSE))</f>
      </c>
      <c r="D26">
        <f>IF('INPUT_CP4'!D25="A",1/VLOOKUP('INPUT_CP4'!E25,$A$7:$D$15,4,FALSE),VLOOKUP('INPUT_CP4'!E25,$A$7:$D$15,2,FALSE))</f>
      </c>
      <c r="E26">
        <f>IF('INPUT_CP4'!D31="A",1/VLOOKUP('INPUT_CP4'!E31,$A$7:$D$15,4,FALSE),VLOOKUP('INPUT_CP4'!E31,$A$7:$D$15,2,FALSE))</f>
      </c>
      <c r="F26">
        <f>IF('INPUT_CP4'!D36="A",1/VLOOKUP('INPUT_CP4'!E36,$A$7:$D$15,4,FALSE),VLOOKUP('INPUT_CP4'!E36,$A$7:$D$15,2,FALSE))</f>
      </c>
      <c r="G26">
        <f>IF('INPUT_CP4'!D40="A",1/VLOOKUP('INPUT_CP4'!E40,$A$7:$D$15,4,FALSE),VLOOKUP('INPUT_CP4'!E40,$A$7:$D$15,2,FALSE))</f>
      </c>
      <c r="H26">
        <v>1</v>
      </c>
      <c r="I26">
        <f>IF('INPUT_CP4'!D44="A",VLOOKUP('INPUT_CP4'!E44,$A$7:$D$15,2,FALSE),1/VLOOKUP('INPUT_CP4'!E44,$A$7:$D$15,4,FALSE))</f>
      </c>
      <c r="J26">
        <f>IF('INPUT_CP4'!D45="A",VLOOKUP('INPUT_CP4'!E45,$A$7:$D$15,2,FALSE),1/VLOOKUP('INPUT_CP4'!E45,$A$7:$D$15,4,FALSE))</f>
      </c>
      <c r="K26">
        <f>IF('INPUT_CP4'!D46="A",VLOOKUP('INPUT_CP4'!E46,$A$7:$D$15,2,FALSE),1/VLOOKUP('INPUT_CP4'!E46,$A$7:$D$15,4,FALSE))</f>
      </c>
      <c r="L26">
        <f>SUM(B26:K26)</f>
      </c>
    </row>
    <row r="27">
      <c r="A27" t="str">
        <v>R7</v>
      </c>
      <c r="B27">
        <f>IF('INPUT_CP4'!D11="A",1/VLOOKUP('INPUT_CP4'!E11,$A$7:$D$15,4,FALSE),VLOOKUP('INPUT_CP4'!E11,$A$7:$D$15,2,FALSE))</f>
      </c>
      <c r="C27">
        <f>IF('INPUT_CP4'!D19="A",1/VLOOKUP('INPUT_CP4'!E19,$A$7:$D$15,4,FALSE),VLOOKUP('INPUT_CP4'!E19,$A$7:$D$15,2,FALSE))</f>
      </c>
      <c r="D27">
        <f>IF('INPUT_CP4'!D26="A",1/VLOOKUP('INPUT_CP4'!E26,$A$7:$D$15,4,FALSE),VLOOKUP('INPUT_CP4'!E26,$A$7:$D$15,2,FALSE))</f>
      </c>
      <c r="E27">
        <f>IF('INPUT_CP4'!D32="A",1/VLOOKUP('INPUT_CP4'!E32,$A$7:$D$15,4,FALSE),VLOOKUP('INPUT_CP4'!E32,$A$7:$D$15,2,FALSE))</f>
      </c>
      <c r="F27">
        <f>IF('INPUT_CP4'!D37="A",1/VLOOKUP('INPUT_CP4'!E37,$A$7:$D$15,4,FALSE),VLOOKUP('INPUT_CP4'!E37,$A$7:$D$15,2,FALSE))</f>
      </c>
      <c r="G27">
        <f>IF('INPUT_CP4'!D41="A",1/VLOOKUP('INPUT_CP4'!E41,$A$7:$D$15,4,FALSE),VLOOKUP('INPUT_CP4'!E41,$A$7:$D$15,2,FALSE))</f>
      </c>
      <c r="H27">
        <f>IF('INPUT_CP4'!D44="A",1/VLOOKUP('INPUT_CP4'!E44,$A$7:$D$15,4,FALSE),VLOOKUP('INPUT_CP4'!E44,$A$7:$D$15,2,FALSE))</f>
      </c>
      <c r="I27">
        <v>1</v>
      </c>
      <c r="J27">
        <f>IF('INPUT_CP4'!D47="A",VLOOKUP('INPUT_CP4'!E47,$A$7:$D$15,2,FALSE),1/VLOOKUP('INPUT_CP4'!E47,$A$7:$D$15,4,FALSE))</f>
      </c>
      <c r="K27">
        <f>IF('INPUT_CP4'!D48="A",VLOOKUP('INPUT_CP4'!E48,$A$7:$D$15,2,FALSE),1/VLOOKUP('INPUT_CP4'!E48,$A$7:$D$15,4,FALSE))</f>
      </c>
      <c r="L27">
        <f>SUM(B27:K27)</f>
      </c>
    </row>
    <row r="28">
      <c r="A28" t="str">
        <v>R8</v>
      </c>
      <c r="B28">
        <f>IF('INPUT_CP4'!D12="A",1/VLOOKUP('INPUT_CP4'!E12,$A$7:$D$15,4,FALSE),VLOOKUP('INPUT_CP4'!E12,$A$7:$D$15,2,FALSE))</f>
      </c>
      <c r="C28">
        <f>IF('INPUT_CP4'!D20="A",1/VLOOKUP('INPUT_CP4'!E20,$A$7:$D$15,4,FALSE),VLOOKUP('INPUT_CP4'!E20,$A$7:$D$15,2,FALSE))</f>
      </c>
      <c r="D28">
        <f>IF('INPUT_CP4'!D27="A",1/VLOOKUP('INPUT_CP4'!E27,$A$7:$D$15,4,FALSE),VLOOKUP('INPUT_CP4'!E27,$A$7:$D$15,2,FALSE))</f>
      </c>
      <c r="E28">
        <f>IF('INPUT_CP4'!D33="A",1/VLOOKUP('INPUT_CP4'!E33,$A$7:$D$15,4,FALSE),VLOOKUP('INPUT_CP4'!E33,$A$7:$D$15,2,FALSE))</f>
      </c>
      <c r="F28">
        <f>IF('INPUT_CP4'!D38="A",1/VLOOKUP('INPUT_CP4'!E38,$A$7:$D$15,4,FALSE),VLOOKUP('INPUT_CP4'!E38,$A$7:$D$15,2,FALSE))</f>
      </c>
      <c r="G28">
        <f>IF('INPUT_CP4'!D42="A",1/VLOOKUP('INPUT_CP4'!E42,$A$7:$D$15,4,FALSE),VLOOKUP('INPUT_CP4'!E42,$A$7:$D$15,2,FALSE))</f>
      </c>
      <c r="H28">
        <f>IF('INPUT_CP4'!D45="A",1/VLOOKUP('INPUT_CP4'!E45,$A$7:$D$15,4,FALSE),VLOOKUP('INPUT_CP4'!E45,$A$7:$D$15,2,FALSE))</f>
      </c>
      <c r="I28">
        <f>IF('INPUT_CP4'!D47="A",1/VLOOKUP('INPUT_CP4'!E47,$A$7:$D$15,4,FALSE),VLOOKUP('INPUT_CP4'!E47,$A$7:$D$15,2,FALSE))</f>
      </c>
      <c r="J28">
        <v>1</v>
      </c>
      <c r="K28">
        <f>IF('INPUT_CP4'!D49="A",VLOOKUP('INPUT_CP4'!E49,$A$7:$D$15,2,FALSE),1/VLOOKUP('INPUT_CP4'!E49,$A$7:$D$15,4,FALSE))</f>
      </c>
      <c r="L28">
        <f>SUM(B28:K28)</f>
      </c>
    </row>
    <row r="29">
      <c r="A29" t="str">
        <v>R9</v>
      </c>
      <c r="B29">
        <f>IF('INPUT_CP4'!D13="A",1/VLOOKUP('INPUT_CP4'!E13,$A$7:$D$15,4,FALSE),VLOOKUP('INPUT_CP4'!E13,$A$7:$D$15,2,FALSE))</f>
      </c>
      <c r="C29">
        <f>IF('INPUT_CP4'!D21="A",1/VLOOKUP('INPUT_CP4'!E21,$A$7:$D$15,4,FALSE),VLOOKUP('INPUT_CP4'!E21,$A$7:$D$15,2,FALSE))</f>
      </c>
      <c r="D29">
        <f>IF('INPUT_CP4'!D28="A",1/VLOOKUP('INPUT_CP4'!E28,$A$7:$D$15,4,FALSE),VLOOKUP('INPUT_CP4'!E28,$A$7:$D$15,2,FALSE))</f>
      </c>
      <c r="E29">
        <f>IF('INPUT_CP4'!D34="A",1/VLOOKUP('INPUT_CP4'!E34,$A$7:$D$15,4,FALSE),VLOOKUP('INPUT_CP4'!E34,$A$7:$D$15,2,FALSE))</f>
      </c>
      <c r="F29">
        <f>IF('INPUT_CP4'!D39="A",1/VLOOKUP('INPUT_CP4'!E39,$A$7:$D$15,4,FALSE),VLOOKUP('INPUT_CP4'!E39,$A$7:$D$15,2,FALSE))</f>
      </c>
      <c r="G29">
        <f>IF('INPUT_CP4'!D43="A",1/VLOOKUP('INPUT_CP4'!E43,$A$7:$D$15,4,FALSE),VLOOKUP('INPUT_CP4'!E43,$A$7:$D$15,2,FALSE))</f>
      </c>
      <c r="H29">
        <f>IF('INPUT_CP4'!D46="A",1/VLOOKUP('INPUT_CP4'!E46,$A$7:$D$15,4,FALSE),VLOOKUP('INPUT_CP4'!E46,$A$7:$D$15,2,FALSE))</f>
      </c>
      <c r="I29">
        <f>IF('INPUT_CP4'!D48="A",1/VLOOKUP('INPUT_CP4'!E48,$A$7:$D$15,4,FALSE),VLOOKUP('INPUT_CP4'!E48,$A$7:$D$15,2,FALSE))</f>
      </c>
      <c r="J29">
        <f>IF('INPUT_CP4'!D49="A",1/VLOOKUP('INPUT_CP4'!E49,$A$7:$D$15,4,FALSE),VLOOKUP('INPUT_CP4'!E49,$A$7:$D$15,2,FALSE))</f>
      </c>
      <c r="K29">
        <v>1</v>
      </c>
      <c r="L29">
        <f>SUM(B29:K29)</f>
      </c>
    </row>
    <row r="30">
      <c r="L30">
        <f>SUM(B30:K30)</f>
      </c>
    </row>
    <row r="31">
      <c r="A31" t="str">
        <v>TOTAL</v>
      </c>
      <c r="L31">
        <f>SUM(L21:L30)</f>
      </c>
    </row>
    <row r="32">
      <c r="L32">
        <f>SUM(B22:K22)</f>
      </c>
    </row>
    <row r="33">
      <c r="L33">
        <f>SUM(B23:K23)</f>
      </c>
    </row>
    <row r="34">
      <c r="A34" t="str">
        <v>MATRIKS TFN — Komponen m (Middle)</v>
      </c>
      <c r="L34">
        <f>SUM(B24:K24)</f>
      </c>
    </row>
    <row r="35">
      <c r="A35" t="str">
        <v/>
      </c>
      <c r="B35" t="str">
        <v>R1</v>
      </c>
      <c r="C35" t="str">
        <v>R10</v>
      </c>
      <c r="D35" t="str">
        <v>R2</v>
      </c>
      <c r="E35" t="str">
        <v>R3</v>
      </c>
      <c r="F35" t="str">
        <v>R4</v>
      </c>
      <c r="G35" t="str">
        <v>R5</v>
      </c>
      <c r="H35" t="str">
        <v>R6</v>
      </c>
      <c r="I35" t="str">
        <v>R7</v>
      </c>
      <c r="J35" t="str">
        <v>R8</v>
      </c>
      <c r="K35" t="str">
        <v>R9</v>
      </c>
      <c r="L35" t="str">
        <v>Σ Baris</v>
      </c>
    </row>
    <row r="36">
      <c r="A36" t="str">
        <v>R1</v>
      </c>
      <c r="B36">
        <v>1</v>
      </c>
      <c r="C36">
        <f>IF('INPUT_CP4'!D5="A",VLOOKUP('INPUT_CP4'!E5,$A$7:$D$15,3,FALSE),1/VLOOKUP('INPUT_CP4'!E5,$A$7:$D$15,3,FALSE))</f>
      </c>
      <c r="D36">
        <f>IF('INPUT_CP4'!D6="A",VLOOKUP('INPUT_CP4'!E6,$A$7:$D$15,3,FALSE),1/VLOOKUP('INPUT_CP4'!E6,$A$7:$D$15,3,FALSE))</f>
      </c>
      <c r="E36">
        <f>IF('INPUT_CP4'!D7="A",VLOOKUP('INPUT_CP4'!E7,$A$7:$D$15,3,FALSE),1/VLOOKUP('INPUT_CP4'!E7,$A$7:$D$15,3,FALSE))</f>
      </c>
      <c r="F36">
        <f>IF('INPUT_CP4'!D8="A",VLOOKUP('INPUT_CP4'!E8,$A$7:$D$15,3,FALSE),1/VLOOKUP('INPUT_CP4'!E8,$A$7:$D$15,3,FALSE))</f>
      </c>
      <c r="G36">
        <f>IF('INPUT_CP4'!D9="A",VLOOKUP('INPUT_CP4'!E9,$A$7:$D$15,3,FALSE),1/VLOOKUP('INPUT_CP4'!E9,$A$7:$D$15,3,FALSE))</f>
      </c>
      <c r="H36">
        <f>IF('INPUT_CP4'!D10="A",VLOOKUP('INPUT_CP4'!E10,$A$7:$D$15,3,FALSE),1/VLOOKUP('INPUT_CP4'!E10,$A$7:$D$15,3,FALSE))</f>
      </c>
      <c r="I36">
        <f>IF('INPUT_CP4'!D11="A",VLOOKUP('INPUT_CP4'!E11,$A$7:$D$15,3,FALSE),1/VLOOKUP('INPUT_CP4'!E11,$A$7:$D$15,3,FALSE))</f>
      </c>
      <c r="J36">
        <f>IF('INPUT_CP4'!D12="A",VLOOKUP('INPUT_CP4'!E12,$A$7:$D$15,3,FALSE),1/VLOOKUP('INPUT_CP4'!E12,$A$7:$D$15,3,FALSE))</f>
      </c>
      <c r="K36">
        <f>IF('INPUT_CP4'!D13="A",VLOOKUP('INPUT_CP4'!E13,$A$7:$D$15,3,FALSE),1/VLOOKUP('INPUT_CP4'!E13,$A$7:$D$15,3,FALSE))</f>
      </c>
      <c r="L36">
        <f>SUM(B36:K36)</f>
      </c>
    </row>
    <row r="37">
      <c r="A37" t="str">
        <v>R10</v>
      </c>
      <c r="B37">
        <f>IF('INPUT_CP4'!D5="A",1/VLOOKUP('INPUT_CP4'!E5,$A$7:$D$15,3,FALSE),VLOOKUP('INPUT_CP4'!E5,$A$7:$D$15,3,FALSE))</f>
      </c>
      <c r="C37">
        <v>1</v>
      </c>
      <c r="D37">
        <f>IF('INPUT_CP4'!D14="A",VLOOKUP('INPUT_CP4'!E14,$A$7:$D$15,3,FALSE),1/VLOOKUP('INPUT_CP4'!E14,$A$7:$D$15,3,FALSE))</f>
      </c>
      <c r="E37">
        <f>IF('INPUT_CP4'!D15="A",VLOOKUP('INPUT_CP4'!E15,$A$7:$D$15,3,FALSE),1/VLOOKUP('INPUT_CP4'!E15,$A$7:$D$15,3,FALSE))</f>
      </c>
      <c r="F37">
        <f>IF('INPUT_CP4'!D16="A",VLOOKUP('INPUT_CP4'!E16,$A$7:$D$15,3,FALSE),1/VLOOKUP('INPUT_CP4'!E16,$A$7:$D$15,3,FALSE))</f>
      </c>
      <c r="G37">
        <f>IF('INPUT_CP4'!D17="A",VLOOKUP('INPUT_CP4'!E17,$A$7:$D$15,3,FALSE),1/VLOOKUP('INPUT_CP4'!E17,$A$7:$D$15,3,FALSE))</f>
      </c>
      <c r="H37">
        <f>IF('INPUT_CP4'!D18="A",VLOOKUP('INPUT_CP4'!E18,$A$7:$D$15,3,FALSE),1/VLOOKUP('INPUT_CP4'!E18,$A$7:$D$15,3,FALSE))</f>
      </c>
      <c r="I37">
        <f>IF('INPUT_CP4'!D19="A",VLOOKUP('INPUT_CP4'!E19,$A$7:$D$15,3,FALSE),1/VLOOKUP('INPUT_CP4'!E19,$A$7:$D$15,3,FALSE))</f>
      </c>
      <c r="J37">
        <f>IF('INPUT_CP4'!D20="A",VLOOKUP('INPUT_CP4'!E20,$A$7:$D$15,3,FALSE),1/VLOOKUP('INPUT_CP4'!E20,$A$7:$D$15,3,FALSE))</f>
      </c>
      <c r="K37">
        <f>IF('INPUT_CP4'!D21="A",VLOOKUP('INPUT_CP4'!E21,$A$7:$D$15,3,FALSE),1/VLOOKUP('INPUT_CP4'!E21,$A$7:$D$15,3,FALSE))</f>
      </c>
      <c r="L37">
        <f>SUM(B37:K37)</f>
      </c>
    </row>
    <row r="38">
      <c r="A38" t="str">
        <v>R2</v>
      </c>
      <c r="B38">
        <f>IF('INPUT_CP4'!D6="A",1/VLOOKUP('INPUT_CP4'!E6,$A$7:$D$15,3,FALSE),VLOOKUP('INPUT_CP4'!E6,$A$7:$D$15,3,FALSE))</f>
      </c>
      <c r="C38">
        <f>IF('INPUT_CP4'!D14="A",1/VLOOKUP('INPUT_CP4'!E14,$A$7:$D$15,3,FALSE),VLOOKUP('INPUT_CP4'!E14,$A$7:$D$15,3,FALSE))</f>
      </c>
      <c r="D38">
        <v>1</v>
      </c>
      <c r="E38">
        <f>IF('INPUT_CP4'!D22="A",VLOOKUP('INPUT_CP4'!E22,$A$7:$D$15,3,FALSE),1/VLOOKUP('INPUT_CP4'!E22,$A$7:$D$15,3,FALSE))</f>
      </c>
      <c r="F38">
        <f>IF('INPUT_CP4'!D23="A",VLOOKUP('INPUT_CP4'!E23,$A$7:$D$15,3,FALSE),1/VLOOKUP('INPUT_CP4'!E23,$A$7:$D$15,3,FALSE))</f>
      </c>
      <c r="G38">
        <f>IF('INPUT_CP4'!D24="A",VLOOKUP('INPUT_CP4'!E24,$A$7:$D$15,3,FALSE),1/VLOOKUP('INPUT_CP4'!E24,$A$7:$D$15,3,FALSE))</f>
      </c>
      <c r="H38">
        <f>IF('INPUT_CP4'!D25="A",VLOOKUP('INPUT_CP4'!E25,$A$7:$D$15,3,FALSE),1/VLOOKUP('INPUT_CP4'!E25,$A$7:$D$15,3,FALSE))</f>
      </c>
      <c r="I38">
        <f>IF('INPUT_CP4'!D26="A",VLOOKUP('INPUT_CP4'!E26,$A$7:$D$15,3,FALSE),1/VLOOKUP('INPUT_CP4'!E26,$A$7:$D$15,3,FALSE))</f>
      </c>
      <c r="J38">
        <f>IF('INPUT_CP4'!D27="A",VLOOKUP('INPUT_CP4'!E27,$A$7:$D$15,3,FALSE),1/VLOOKUP('INPUT_CP4'!E27,$A$7:$D$15,3,FALSE))</f>
      </c>
      <c r="K38">
        <f>IF('INPUT_CP4'!D28="A",VLOOKUP('INPUT_CP4'!E28,$A$7:$D$15,3,FALSE),1/VLOOKUP('INPUT_CP4'!E28,$A$7:$D$15,3,FALSE))</f>
      </c>
      <c r="L38">
        <f>SUM(B38:K38)</f>
      </c>
    </row>
    <row r="39">
      <c r="A39" t="str">
        <v>R3</v>
      </c>
      <c r="B39">
        <f>IF('INPUT_CP4'!D7="A",1/VLOOKUP('INPUT_CP4'!E7,$A$7:$D$15,3,FALSE),VLOOKUP('INPUT_CP4'!E7,$A$7:$D$15,3,FALSE))</f>
      </c>
      <c r="C39">
        <f>IF('INPUT_CP4'!D15="A",1/VLOOKUP('INPUT_CP4'!E15,$A$7:$D$15,3,FALSE),VLOOKUP('INPUT_CP4'!E15,$A$7:$D$15,3,FALSE))</f>
      </c>
      <c r="D39">
        <f>IF('INPUT_CP4'!D22="A",1/VLOOKUP('INPUT_CP4'!E22,$A$7:$D$15,3,FALSE),VLOOKUP('INPUT_CP4'!E22,$A$7:$D$15,3,FALSE))</f>
      </c>
      <c r="E39">
        <v>1</v>
      </c>
      <c r="F39">
        <f>IF('INPUT_CP4'!D29="A",VLOOKUP('INPUT_CP4'!E29,$A$7:$D$15,3,FALSE),1/VLOOKUP('INPUT_CP4'!E29,$A$7:$D$15,3,FALSE))</f>
      </c>
      <c r="G39">
        <f>IF('INPUT_CP4'!D30="A",VLOOKUP('INPUT_CP4'!E30,$A$7:$D$15,3,FALSE),1/VLOOKUP('INPUT_CP4'!E30,$A$7:$D$15,3,FALSE))</f>
      </c>
      <c r="H39">
        <f>IF('INPUT_CP4'!D31="A",VLOOKUP('INPUT_CP4'!E31,$A$7:$D$15,3,FALSE),1/VLOOKUP('INPUT_CP4'!E31,$A$7:$D$15,3,FALSE))</f>
      </c>
      <c r="I39">
        <f>IF('INPUT_CP4'!D32="A",VLOOKUP('INPUT_CP4'!E32,$A$7:$D$15,3,FALSE),1/VLOOKUP('INPUT_CP4'!E32,$A$7:$D$15,3,FALSE))</f>
      </c>
      <c r="J39">
        <f>IF('INPUT_CP4'!D33="A",VLOOKUP('INPUT_CP4'!E33,$A$7:$D$15,3,FALSE),1/VLOOKUP('INPUT_CP4'!E33,$A$7:$D$15,3,FALSE))</f>
      </c>
      <c r="K39">
        <f>IF('INPUT_CP4'!D34="A",VLOOKUP('INPUT_CP4'!E34,$A$7:$D$15,3,FALSE),1/VLOOKUP('INPUT_CP4'!E34,$A$7:$D$15,3,FALSE))</f>
      </c>
      <c r="L39">
        <f>SUM(B39:K39)</f>
      </c>
    </row>
    <row r="40">
      <c r="A40" t="str">
        <v>R4</v>
      </c>
      <c r="B40">
        <f>IF('INPUT_CP4'!D8="A",1/VLOOKUP('INPUT_CP4'!E8,$A$7:$D$15,3,FALSE),VLOOKUP('INPUT_CP4'!E8,$A$7:$D$15,3,FALSE))</f>
      </c>
      <c r="C40">
        <f>IF('INPUT_CP4'!D16="A",1/VLOOKUP('INPUT_CP4'!E16,$A$7:$D$15,3,FALSE),VLOOKUP('INPUT_CP4'!E16,$A$7:$D$15,3,FALSE))</f>
      </c>
      <c r="D40">
        <f>IF('INPUT_CP4'!D23="A",1/VLOOKUP('INPUT_CP4'!E23,$A$7:$D$15,3,FALSE),VLOOKUP('INPUT_CP4'!E23,$A$7:$D$15,3,FALSE))</f>
      </c>
      <c r="E40">
        <f>IF('INPUT_CP4'!D29="A",1/VLOOKUP('INPUT_CP4'!E29,$A$7:$D$15,3,FALSE),VLOOKUP('INPUT_CP4'!E29,$A$7:$D$15,3,FALSE))</f>
      </c>
      <c r="F40">
        <v>1</v>
      </c>
      <c r="G40">
        <f>IF('INPUT_CP4'!D35="A",VLOOKUP('INPUT_CP4'!E35,$A$7:$D$15,3,FALSE),1/VLOOKUP('INPUT_CP4'!E35,$A$7:$D$15,3,FALSE))</f>
      </c>
      <c r="H40">
        <f>IF('INPUT_CP4'!D36="A",VLOOKUP('INPUT_CP4'!E36,$A$7:$D$15,3,FALSE),1/VLOOKUP('INPUT_CP4'!E36,$A$7:$D$15,3,FALSE))</f>
      </c>
      <c r="I40">
        <f>IF('INPUT_CP4'!D37="A",VLOOKUP('INPUT_CP4'!E37,$A$7:$D$15,3,FALSE),1/VLOOKUP('INPUT_CP4'!E37,$A$7:$D$15,3,FALSE))</f>
      </c>
      <c r="J40">
        <f>IF('INPUT_CP4'!D38="A",VLOOKUP('INPUT_CP4'!E38,$A$7:$D$15,3,FALSE),1/VLOOKUP('INPUT_CP4'!E38,$A$7:$D$15,3,FALSE))</f>
      </c>
      <c r="K40">
        <f>IF('INPUT_CP4'!D39="A",VLOOKUP('INPUT_CP4'!E39,$A$7:$D$15,3,FALSE),1/VLOOKUP('INPUT_CP4'!E39,$A$7:$D$15,3,FALSE))</f>
      </c>
      <c r="L40">
        <f>SUM(B40:K40)</f>
      </c>
    </row>
    <row r="41">
      <c r="A41" t="str">
        <v>R5</v>
      </c>
      <c r="B41">
        <f>IF('INPUT_CP4'!D9="A",1/VLOOKUP('INPUT_CP4'!E9,$A$7:$D$15,3,FALSE),VLOOKUP('INPUT_CP4'!E9,$A$7:$D$15,3,FALSE))</f>
      </c>
      <c r="C41">
        <f>IF('INPUT_CP4'!D17="A",1/VLOOKUP('INPUT_CP4'!E17,$A$7:$D$15,3,FALSE),VLOOKUP('INPUT_CP4'!E17,$A$7:$D$15,3,FALSE))</f>
      </c>
      <c r="D41">
        <f>IF('INPUT_CP4'!D24="A",1/VLOOKUP('INPUT_CP4'!E24,$A$7:$D$15,3,FALSE),VLOOKUP('INPUT_CP4'!E24,$A$7:$D$15,3,FALSE))</f>
      </c>
      <c r="E41">
        <f>IF('INPUT_CP4'!D30="A",1/VLOOKUP('INPUT_CP4'!E30,$A$7:$D$15,3,FALSE),VLOOKUP('INPUT_CP4'!E30,$A$7:$D$15,3,FALSE))</f>
      </c>
      <c r="F41">
        <f>IF('INPUT_CP4'!D35="A",1/VLOOKUP('INPUT_CP4'!E35,$A$7:$D$15,3,FALSE),VLOOKUP('INPUT_CP4'!E35,$A$7:$D$15,3,FALSE))</f>
      </c>
      <c r="G41">
        <v>1</v>
      </c>
      <c r="H41">
        <f>IF('INPUT_CP4'!D40="A",VLOOKUP('INPUT_CP4'!E40,$A$7:$D$15,3,FALSE),1/VLOOKUP('INPUT_CP4'!E40,$A$7:$D$15,3,FALSE))</f>
      </c>
      <c r="I41">
        <f>IF('INPUT_CP4'!D41="A",VLOOKUP('INPUT_CP4'!E41,$A$7:$D$15,3,FALSE),1/VLOOKUP('INPUT_CP4'!E41,$A$7:$D$15,3,FALSE))</f>
      </c>
      <c r="J41">
        <f>IF('INPUT_CP4'!D42="A",VLOOKUP('INPUT_CP4'!E42,$A$7:$D$15,3,FALSE),1/VLOOKUP('INPUT_CP4'!E42,$A$7:$D$15,3,FALSE))</f>
      </c>
      <c r="K41">
        <f>IF('INPUT_CP4'!D43="A",VLOOKUP('INPUT_CP4'!E43,$A$7:$D$15,3,FALSE),1/VLOOKUP('INPUT_CP4'!E43,$A$7:$D$15,3,FALSE))</f>
      </c>
      <c r="L41">
        <f>SUM(B41:K41)</f>
      </c>
    </row>
    <row r="42">
      <c r="A42" t="str">
        <v>R6</v>
      </c>
      <c r="B42">
        <f>IF('INPUT_CP4'!D10="A",1/VLOOKUP('INPUT_CP4'!E10,$A$7:$D$15,3,FALSE),VLOOKUP('INPUT_CP4'!E10,$A$7:$D$15,3,FALSE))</f>
      </c>
      <c r="C42">
        <f>IF('INPUT_CP4'!D18="A",1/VLOOKUP('INPUT_CP4'!E18,$A$7:$D$15,3,FALSE),VLOOKUP('INPUT_CP4'!E18,$A$7:$D$15,3,FALSE))</f>
      </c>
      <c r="D42">
        <f>IF('INPUT_CP4'!D25="A",1/VLOOKUP('INPUT_CP4'!E25,$A$7:$D$15,3,FALSE),VLOOKUP('INPUT_CP4'!E25,$A$7:$D$15,3,FALSE))</f>
      </c>
      <c r="E42">
        <f>IF('INPUT_CP4'!D31="A",1/VLOOKUP('INPUT_CP4'!E31,$A$7:$D$15,3,FALSE),VLOOKUP('INPUT_CP4'!E31,$A$7:$D$15,3,FALSE))</f>
      </c>
      <c r="F42">
        <f>IF('INPUT_CP4'!D36="A",1/VLOOKUP('INPUT_CP4'!E36,$A$7:$D$15,3,FALSE),VLOOKUP('INPUT_CP4'!E36,$A$7:$D$15,3,FALSE))</f>
      </c>
      <c r="G42">
        <f>IF('INPUT_CP4'!D40="A",1/VLOOKUP('INPUT_CP4'!E40,$A$7:$D$15,3,FALSE),VLOOKUP('INPUT_CP4'!E40,$A$7:$D$15,3,FALSE))</f>
      </c>
      <c r="H42">
        <v>1</v>
      </c>
      <c r="I42">
        <f>IF('INPUT_CP4'!D44="A",VLOOKUP('INPUT_CP4'!E44,$A$7:$D$15,3,FALSE),1/VLOOKUP('INPUT_CP4'!E44,$A$7:$D$15,3,FALSE))</f>
      </c>
      <c r="J42">
        <f>IF('INPUT_CP4'!D45="A",VLOOKUP('INPUT_CP4'!E45,$A$7:$D$15,3,FALSE),1/VLOOKUP('INPUT_CP4'!E45,$A$7:$D$15,3,FALSE))</f>
      </c>
      <c r="K42">
        <f>IF('INPUT_CP4'!D46="A",VLOOKUP('INPUT_CP4'!E46,$A$7:$D$15,3,FALSE),1/VLOOKUP('INPUT_CP4'!E46,$A$7:$D$15,3,FALSE))</f>
      </c>
      <c r="L42">
        <f>SUM(B42:K42)</f>
      </c>
    </row>
    <row r="43">
      <c r="A43" t="str">
        <v>R7</v>
      </c>
      <c r="B43">
        <f>IF('INPUT_CP4'!D11="A",1/VLOOKUP('INPUT_CP4'!E11,$A$7:$D$15,3,FALSE),VLOOKUP('INPUT_CP4'!E11,$A$7:$D$15,3,FALSE))</f>
      </c>
      <c r="C43">
        <f>IF('INPUT_CP4'!D19="A",1/VLOOKUP('INPUT_CP4'!E19,$A$7:$D$15,3,FALSE),VLOOKUP('INPUT_CP4'!E19,$A$7:$D$15,3,FALSE))</f>
      </c>
      <c r="D43">
        <f>IF('INPUT_CP4'!D26="A",1/VLOOKUP('INPUT_CP4'!E26,$A$7:$D$15,3,FALSE),VLOOKUP('INPUT_CP4'!E26,$A$7:$D$15,3,FALSE))</f>
      </c>
      <c r="E43">
        <f>IF('INPUT_CP4'!D32="A",1/VLOOKUP('INPUT_CP4'!E32,$A$7:$D$15,3,FALSE),VLOOKUP('INPUT_CP4'!E32,$A$7:$D$15,3,FALSE))</f>
      </c>
      <c r="F43">
        <f>IF('INPUT_CP4'!D37="A",1/VLOOKUP('INPUT_CP4'!E37,$A$7:$D$15,3,FALSE),VLOOKUP('INPUT_CP4'!E37,$A$7:$D$15,3,FALSE))</f>
      </c>
      <c r="G43">
        <f>IF('INPUT_CP4'!D41="A",1/VLOOKUP('INPUT_CP4'!E41,$A$7:$D$15,3,FALSE),VLOOKUP('INPUT_CP4'!E41,$A$7:$D$15,3,FALSE))</f>
      </c>
      <c r="H43">
        <f>IF('INPUT_CP4'!D44="A",1/VLOOKUP('INPUT_CP4'!E44,$A$7:$D$15,3,FALSE),VLOOKUP('INPUT_CP4'!E44,$A$7:$D$15,3,FALSE))</f>
      </c>
      <c r="I43">
        <v>1</v>
      </c>
      <c r="J43">
        <f>IF('INPUT_CP4'!D47="A",VLOOKUP('INPUT_CP4'!E47,$A$7:$D$15,3,FALSE),1/VLOOKUP('INPUT_CP4'!E47,$A$7:$D$15,3,FALSE))</f>
      </c>
      <c r="K43">
        <f>IF('INPUT_CP4'!D48="A",VLOOKUP('INPUT_CP4'!E48,$A$7:$D$15,3,FALSE),1/VLOOKUP('INPUT_CP4'!E48,$A$7:$D$15,3,FALSE))</f>
      </c>
      <c r="L43">
        <f>SUM(B43:K43)</f>
      </c>
    </row>
    <row r="44">
      <c r="A44" t="str">
        <v>R8</v>
      </c>
      <c r="B44">
        <f>IF('INPUT_CP4'!D12="A",1/VLOOKUP('INPUT_CP4'!E12,$A$7:$D$15,3,FALSE),VLOOKUP('INPUT_CP4'!E12,$A$7:$D$15,3,FALSE))</f>
      </c>
      <c r="C44">
        <f>IF('INPUT_CP4'!D20="A",1/VLOOKUP('INPUT_CP4'!E20,$A$7:$D$15,3,FALSE),VLOOKUP('INPUT_CP4'!E20,$A$7:$D$15,3,FALSE))</f>
      </c>
      <c r="D44">
        <f>IF('INPUT_CP4'!D27="A",1/VLOOKUP('INPUT_CP4'!E27,$A$7:$D$15,3,FALSE),VLOOKUP('INPUT_CP4'!E27,$A$7:$D$15,3,FALSE))</f>
      </c>
      <c r="E44">
        <f>IF('INPUT_CP4'!D33="A",1/VLOOKUP('INPUT_CP4'!E33,$A$7:$D$15,3,FALSE),VLOOKUP('INPUT_CP4'!E33,$A$7:$D$15,3,FALSE))</f>
      </c>
      <c r="F44">
        <f>IF('INPUT_CP4'!D38="A",1/VLOOKUP('INPUT_CP4'!E38,$A$7:$D$15,3,FALSE),VLOOKUP('INPUT_CP4'!E38,$A$7:$D$15,3,FALSE))</f>
      </c>
      <c r="G44">
        <f>IF('INPUT_CP4'!D42="A",1/VLOOKUP('INPUT_CP4'!E42,$A$7:$D$15,3,FALSE),VLOOKUP('INPUT_CP4'!E42,$A$7:$D$15,3,FALSE))</f>
      </c>
      <c r="H44">
        <f>IF('INPUT_CP4'!D45="A",1/VLOOKUP('INPUT_CP4'!E45,$A$7:$D$15,3,FALSE),VLOOKUP('INPUT_CP4'!E45,$A$7:$D$15,3,FALSE))</f>
      </c>
      <c r="I44">
        <f>IF('INPUT_CP4'!D47="A",1/VLOOKUP('INPUT_CP4'!E47,$A$7:$D$15,3,FALSE),VLOOKUP('INPUT_CP4'!E47,$A$7:$D$15,3,FALSE))</f>
      </c>
      <c r="J44">
        <v>1</v>
      </c>
      <c r="K44">
        <f>IF('INPUT_CP4'!D49="A",VLOOKUP('INPUT_CP4'!E49,$A$7:$D$15,3,FALSE),1/VLOOKUP('INPUT_CP4'!E49,$A$7:$D$15,3,FALSE))</f>
      </c>
      <c r="L44">
        <f>SUM(B44:K44)</f>
      </c>
    </row>
    <row r="45">
      <c r="A45" t="str">
        <v>R9</v>
      </c>
      <c r="B45">
        <f>IF('INPUT_CP4'!D13="A",1/VLOOKUP('INPUT_CP4'!E13,$A$7:$D$15,3,FALSE),VLOOKUP('INPUT_CP4'!E13,$A$7:$D$15,3,FALSE))</f>
      </c>
      <c r="C45">
        <f>IF('INPUT_CP4'!D21="A",1/VLOOKUP('INPUT_CP4'!E21,$A$7:$D$15,3,FALSE),VLOOKUP('INPUT_CP4'!E21,$A$7:$D$15,3,FALSE))</f>
      </c>
      <c r="D45">
        <f>IF('INPUT_CP4'!D28="A",1/VLOOKUP('INPUT_CP4'!E28,$A$7:$D$15,3,FALSE),VLOOKUP('INPUT_CP4'!E28,$A$7:$D$15,3,FALSE))</f>
      </c>
      <c r="E45">
        <f>IF('INPUT_CP4'!D34="A",1/VLOOKUP('INPUT_CP4'!E34,$A$7:$D$15,3,FALSE),VLOOKUP('INPUT_CP4'!E34,$A$7:$D$15,3,FALSE))</f>
      </c>
      <c r="F45">
        <f>IF('INPUT_CP4'!D39="A",1/VLOOKUP('INPUT_CP4'!E39,$A$7:$D$15,3,FALSE),VLOOKUP('INPUT_CP4'!E39,$A$7:$D$15,3,FALSE))</f>
      </c>
      <c r="G45">
        <f>IF('INPUT_CP4'!D43="A",1/VLOOKUP('INPUT_CP4'!E43,$A$7:$D$15,3,FALSE),VLOOKUP('INPUT_CP4'!E43,$A$7:$D$15,3,FALSE))</f>
      </c>
      <c r="H45">
        <f>IF('INPUT_CP4'!D46="A",1/VLOOKUP('INPUT_CP4'!E46,$A$7:$D$15,3,FALSE),VLOOKUP('INPUT_CP4'!E46,$A$7:$D$15,3,FALSE))</f>
      </c>
      <c r="I45">
        <f>IF('INPUT_CP4'!D48="A",1/VLOOKUP('INPUT_CP4'!E48,$A$7:$D$15,3,FALSE),VLOOKUP('INPUT_CP4'!E48,$A$7:$D$15,3,FALSE))</f>
      </c>
      <c r="J45">
        <f>IF('INPUT_CP4'!D49="A",1/VLOOKUP('INPUT_CP4'!E49,$A$7:$D$15,3,FALSE),VLOOKUP('INPUT_CP4'!E49,$A$7:$D$15,3,FALSE))</f>
      </c>
      <c r="K45">
        <v>1</v>
      </c>
      <c r="L45">
        <f>SUM(B45:K45)</f>
      </c>
    </row>
    <row r="46">
      <c r="A46" t="str">
        <v>TOTAL</v>
      </c>
      <c r="L46">
        <f>SUM(L37:L46)</f>
      </c>
    </row>
    <row r="49">
      <c r="A49" t="str">
        <v>MATRIKS TFN — Komponen u (Upper)</v>
      </c>
    </row>
    <row r="50">
      <c r="A50" t="str">
        <v/>
      </c>
      <c r="B50" t="str">
        <v>R1</v>
      </c>
      <c r="C50" t="str">
        <v>R10</v>
      </c>
      <c r="D50" t="str">
        <v>R2</v>
      </c>
      <c r="E50" t="str">
        <v>R3</v>
      </c>
      <c r="F50" t="str">
        <v>R4</v>
      </c>
      <c r="G50" t="str">
        <v>R5</v>
      </c>
      <c r="H50" t="str">
        <v>R6</v>
      </c>
      <c r="I50" t="str">
        <v>R7</v>
      </c>
      <c r="J50" t="str">
        <v>R8</v>
      </c>
      <c r="K50" t="str">
        <v>R9</v>
      </c>
      <c r="L50" t="str">
        <v>Σ Baris</v>
      </c>
    </row>
    <row r="51">
      <c r="A51" t="str">
        <v>R1</v>
      </c>
      <c r="B51">
        <v>1</v>
      </c>
      <c r="C51">
        <f>IF('INPUT_CP4'!D5="A",VLOOKUP('INPUT_CP4'!E5,$A$7:$D$15,4,FALSE),1/VLOOKUP('INPUT_CP4'!E5,$A$7:$D$15,2,FALSE))</f>
      </c>
      <c r="D51">
        <f>IF('INPUT_CP4'!D6="A",VLOOKUP('INPUT_CP4'!E6,$A$7:$D$15,4,FALSE),1/VLOOKUP('INPUT_CP4'!E6,$A$7:$D$15,2,FALSE))</f>
      </c>
      <c r="E51">
        <f>IF('INPUT_CP4'!D7="A",VLOOKUP('INPUT_CP4'!E7,$A$7:$D$15,4,FALSE),1/VLOOKUP('INPUT_CP4'!E7,$A$7:$D$15,2,FALSE))</f>
      </c>
      <c r="F51">
        <f>IF('INPUT_CP4'!D8="A",VLOOKUP('INPUT_CP4'!E8,$A$7:$D$15,4,FALSE),1/VLOOKUP('INPUT_CP4'!E8,$A$7:$D$15,2,FALSE))</f>
      </c>
      <c r="G51">
        <f>IF('INPUT_CP4'!D9="A",VLOOKUP('INPUT_CP4'!E9,$A$7:$D$15,4,FALSE),1/VLOOKUP('INPUT_CP4'!E9,$A$7:$D$15,2,FALSE))</f>
      </c>
      <c r="H51">
        <f>IF('INPUT_CP4'!D10="A",VLOOKUP('INPUT_CP4'!E10,$A$7:$D$15,4,FALSE),1/VLOOKUP('INPUT_CP4'!E10,$A$7:$D$15,2,FALSE))</f>
      </c>
      <c r="I51">
        <f>IF('INPUT_CP4'!D11="A",VLOOKUP('INPUT_CP4'!E11,$A$7:$D$15,4,FALSE),1/VLOOKUP('INPUT_CP4'!E11,$A$7:$D$15,2,FALSE))</f>
      </c>
      <c r="J51">
        <f>IF('INPUT_CP4'!D12="A",VLOOKUP('INPUT_CP4'!E12,$A$7:$D$15,4,FALSE),1/VLOOKUP('INPUT_CP4'!E12,$A$7:$D$15,2,FALSE))</f>
      </c>
      <c r="K51">
        <f>IF('INPUT_CP4'!D13="A",VLOOKUP('INPUT_CP4'!E13,$A$7:$D$15,4,FALSE),1/VLOOKUP('INPUT_CP4'!E13,$A$7:$D$15,2,FALSE))</f>
      </c>
      <c r="L51">
        <f>SUM(B51:K51)</f>
      </c>
    </row>
    <row r="52">
      <c r="A52" t="str">
        <v>R10</v>
      </c>
      <c r="B52">
        <f>IF('INPUT_CP4'!D5="A",1/VLOOKUP('INPUT_CP4'!E5,$A$7:$D$15,2,FALSE),VLOOKUP('INPUT_CP4'!E5,$A$7:$D$15,4,FALSE))</f>
      </c>
      <c r="C52">
        <v>1</v>
      </c>
      <c r="D52">
        <f>IF('INPUT_CP4'!D14="A",VLOOKUP('INPUT_CP4'!E14,$A$7:$D$15,4,FALSE),1/VLOOKUP('INPUT_CP4'!E14,$A$7:$D$15,2,FALSE))</f>
      </c>
      <c r="E52">
        <f>IF('INPUT_CP4'!D15="A",VLOOKUP('INPUT_CP4'!E15,$A$7:$D$15,4,FALSE),1/VLOOKUP('INPUT_CP4'!E15,$A$7:$D$15,2,FALSE))</f>
      </c>
      <c r="F52">
        <f>IF('INPUT_CP4'!D16="A",VLOOKUP('INPUT_CP4'!E16,$A$7:$D$15,4,FALSE),1/VLOOKUP('INPUT_CP4'!E16,$A$7:$D$15,2,FALSE))</f>
      </c>
      <c r="G52">
        <f>IF('INPUT_CP4'!D17="A",VLOOKUP('INPUT_CP4'!E17,$A$7:$D$15,4,FALSE),1/VLOOKUP('INPUT_CP4'!E17,$A$7:$D$15,2,FALSE))</f>
      </c>
      <c r="H52">
        <f>IF('INPUT_CP4'!D18="A",VLOOKUP('INPUT_CP4'!E18,$A$7:$D$15,4,FALSE),1/VLOOKUP('INPUT_CP4'!E18,$A$7:$D$15,2,FALSE))</f>
      </c>
      <c r="I52">
        <f>IF('INPUT_CP4'!D19="A",VLOOKUP('INPUT_CP4'!E19,$A$7:$D$15,4,FALSE),1/VLOOKUP('INPUT_CP4'!E19,$A$7:$D$15,2,FALSE))</f>
      </c>
      <c r="J52">
        <f>IF('INPUT_CP4'!D20="A",VLOOKUP('INPUT_CP4'!E20,$A$7:$D$15,4,FALSE),1/VLOOKUP('INPUT_CP4'!E20,$A$7:$D$15,2,FALSE))</f>
      </c>
      <c r="K52">
        <f>IF('INPUT_CP4'!D21="A",VLOOKUP('INPUT_CP4'!E21,$A$7:$D$15,4,FALSE),1/VLOOKUP('INPUT_CP4'!E21,$A$7:$D$15,2,FALSE))</f>
      </c>
      <c r="L52">
        <f>SUM(B52:K52)</f>
      </c>
    </row>
    <row r="53">
      <c r="A53" t="str">
        <v>R2</v>
      </c>
      <c r="B53">
        <f>IF('INPUT_CP4'!D6="A",1/VLOOKUP('INPUT_CP4'!E6,$A$7:$D$15,2,FALSE),VLOOKUP('INPUT_CP4'!E6,$A$7:$D$15,4,FALSE))</f>
      </c>
      <c r="C53">
        <f>IF('INPUT_CP4'!D14="A",1/VLOOKUP('INPUT_CP4'!E14,$A$7:$D$15,2,FALSE),VLOOKUP('INPUT_CP4'!E14,$A$7:$D$15,4,FALSE))</f>
      </c>
      <c r="D53">
        <v>1</v>
      </c>
      <c r="E53">
        <f>IF('INPUT_CP4'!D22="A",VLOOKUP('INPUT_CP4'!E22,$A$7:$D$15,4,FALSE),1/VLOOKUP('INPUT_CP4'!E22,$A$7:$D$15,2,FALSE))</f>
      </c>
      <c r="F53">
        <f>IF('INPUT_CP4'!D23="A",VLOOKUP('INPUT_CP4'!E23,$A$7:$D$15,4,FALSE),1/VLOOKUP('INPUT_CP4'!E23,$A$7:$D$15,2,FALSE))</f>
      </c>
      <c r="G53">
        <f>IF('INPUT_CP4'!D24="A",VLOOKUP('INPUT_CP4'!E24,$A$7:$D$15,4,FALSE),1/VLOOKUP('INPUT_CP4'!E24,$A$7:$D$15,2,FALSE))</f>
      </c>
      <c r="H53">
        <f>IF('INPUT_CP4'!D25="A",VLOOKUP('INPUT_CP4'!E25,$A$7:$D$15,4,FALSE),1/VLOOKUP('INPUT_CP4'!E25,$A$7:$D$15,2,FALSE))</f>
      </c>
      <c r="I53">
        <f>IF('INPUT_CP4'!D26="A",VLOOKUP('INPUT_CP4'!E26,$A$7:$D$15,4,FALSE),1/VLOOKUP('INPUT_CP4'!E26,$A$7:$D$15,2,FALSE))</f>
      </c>
      <c r="J53">
        <f>IF('INPUT_CP4'!D27="A",VLOOKUP('INPUT_CP4'!E27,$A$7:$D$15,4,FALSE),1/VLOOKUP('INPUT_CP4'!E27,$A$7:$D$15,2,FALSE))</f>
      </c>
      <c r="K53">
        <f>IF('INPUT_CP4'!D28="A",VLOOKUP('INPUT_CP4'!E28,$A$7:$D$15,4,FALSE),1/VLOOKUP('INPUT_CP4'!E28,$A$7:$D$15,2,FALSE))</f>
      </c>
      <c r="L53">
        <f>SUM(B53:K53)</f>
      </c>
    </row>
    <row r="54">
      <c r="A54" t="str">
        <v>R3</v>
      </c>
      <c r="B54">
        <f>IF('INPUT_CP4'!D7="A",1/VLOOKUP('INPUT_CP4'!E7,$A$7:$D$15,2,FALSE),VLOOKUP('INPUT_CP4'!E7,$A$7:$D$15,4,FALSE))</f>
      </c>
      <c r="C54">
        <f>IF('INPUT_CP4'!D15="A",1/VLOOKUP('INPUT_CP4'!E15,$A$7:$D$15,2,FALSE),VLOOKUP('INPUT_CP4'!E15,$A$7:$D$15,4,FALSE))</f>
      </c>
      <c r="D54">
        <f>IF('INPUT_CP4'!D22="A",1/VLOOKUP('INPUT_CP4'!E22,$A$7:$D$15,2,FALSE),VLOOKUP('INPUT_CP4'!E22,$A$7:$D$15,4,FALSE))</f>
      </c>
      <c r="E54">
        <v>1</v>
      </c>
      <c r="F54">
        <f>IF('INPUT_CP4'!D29="A",VLOOKUP('INPUT_CP4'!E29,$A$7:$D$15,4,FALSE),1/VLOOKUP('INPUT_CP4'!E29,$A$7:$D$15,2,FALSE))</f>
      </c>
      <c r="G54">
        <f>IF('INPUT_CP4'!D30="A",VLOOKUP('INPUT_CP4'!E30,$A$7:$D$15,4,FALSE),1/VLOOKUP('INPUT_CP4'!E30,$A$7:$D$15,2,FALSE))</f>
      </c>
      <c r="H54">
        <f>IF('INPUT_CP4'!D31="A",VLOOKUP('INPUT_CP4'!E31,$A$7:$D$15,4,FALSE),1/VLOOKUP('INPUT_CP4'!E31,$A$7:$D$15,2,FALSE))</f>
      </c>
      <c r="I54">
        <f>IF('INPUT_CP4'!D32="A",VLOOKUP('INPUT_CP4'!E32,$A$7:$D$15,4,FALSE),1/VLOOKUP('INPUT_CP4'!E32,$A$7:$D$15,2,FALSE))</f>
      </c>
      <c r="J54">
        <f>IF('INPUT_CP4'!D33="A",VLOOKUP('INPUT_CP4'!E33,$A$7:$D$15,4,FALSE),1/VLOOKUP('INPUT_CP4'!E33,$A$7:$D$15,2,FALSE))</f>
      </c>
      <c r="K54">
        <f>IF('INPUT_CP4'!D34="A",VLOOKUP('INPUT_CP4'!E34,$A$7:$D$15,4,FALSE),1/VLOOKUP('INPUT_CP4'!E34,$A$7:$D$15,2,FALSE))</f>
      </c>
      <c r="L54">
        <f>SUM(B54:K54)</f>
      </c>
    </row>
    <row r="55">
      <c r="A55" t="str">
        <v>R4</v>
      </c>
      <c r="B55">
        <f>IF('INPUT_CP4'!D8="A",1/VLOOKUP('INPUT_CP4'!E8,$A$7:$D$15,2,FALSE),VLOOKUP('INPUT_CP4'!E8,$A$7:$D$15,4,FALSE))</f>
      </c>
      <c r="C55">
        <f>IF('INPUT_CP4'!D16="A",1/VLOOKUP('INPUT_CP4'!E16,$A$7:$D$15,2,FALSE),VLOOKUP('INPUT_CP4'!E16,$A$7:$D$15,4,FALSE))</f>
      </c>
      <c r="D55">
        <f>IF('INPUT_CP4'!D23="A",1/VLOOKUP('INPUT_CP4'!E23,$A$7:$D$15,2,FALSE),VLOOKUP('INPUT_CP4'!E23,$A$7:$D$15,4,FALSE))</f>
      </c>
      <c r="E55">
        <f>IF('INPUT_CP4'!D29="A",1/VLOOKUP('INPUT_CP4'!E29,$A$7:$D$15,2,FALSE),VLOOKUP('INPUT_CP4'!E29,$A$7:$D$15,4,FALSE))</f>
      </c>
      <c r="F55">
        <v>1</v>
      </c>
      <c r="G55">
        <f>IF('INPUT_CP4'!D35="A",VLOOKUP('INPUT_CP4'!E35,$A$7:$D$15,4,FALSE),1/VLOOKUP('INPUT_CP4'!E35,$A$7:$D$15,2,FALSE))</f>
      </c>
      <c r="H55">
        <f>IF('INPUT_CP4'!D36="A",VLOOKUP('INPUT_CP4'!E36,$A$7:$D$15,4,FALSE),1/VLOOKUP('INPUT_CP4'!E36,$A$7:$D$15,2,FALSE))</f>
      </c>
      <c r="I55">
        <f>IF('INPUT_CP4'!D37="A",VLOOKUP('INPUT_CP4'!E37,$A$7:$D$15,4,FALSE),1/VLOOKUP('INPUT_CP4'!E37,$A$7:$D$15,2,FALSE))</f>
      </c>
      <c r="J55">
        <f>IF('INPUT_CP4'!D38="A",VLOOKUP('INPUT_CP4'!E38,$A$7:$D$15,4,FALSE),1/VLOOKUP('INPUT_CP4'!E38,$A$7:$D$15,2,FALSE))</f>
      </c>
      <c r="K55">
        <f>IF('INPUT_CP4'!D39="A",VLOOKUP('INPUT_CP4'!E39,$A$7:$D$15,4,FALSE),1/VLOOKUP('INPUT_CP4'!E39,$A$7:$D$15,2,FALSE))</f>
      </c>
      <c r="L55">
        <f>SUM(B55:K55)</f>
      </c>
    </row>
    <row r="56">
      <c r="A56" t="str">
        <v>R5</v>
      </c>
      <c r="B56">
        <f>IF('INPUT_CP4'!D9="A",1/VLOOKUP('INPUT_CP4'!E9,$A$7:$D$15,2,FALSE),VLOOKUP('INPUT_CP4'!E9,$A$7:$D$15,4,FALSE))</f>
      </c>
      <c r="C56">
        <f>IF('INPUT_CP4'!D17="A",1/VLOOKUP('INPUT_CP4'!E17,$A$7:$D$15,2,FALSE),VLOOKUP('INPUT_CP4'!E17,$A$7:$D$15,4,FALSE))</f>
      </c>
      <c r="D56">
        <f>IF('INPUT_CP4'!D24="A",1/VLOOKUP('INPUT_CP4'!E24,$A$7:$D$15,2,FALSE),VLOOKUP('INPUT_CP4'!E24,$A$7:$D$15,4,FALSE))</f>
      </c>
      <c r="E56">
        <f>IF('INPUT_CP4'!D30="A",1/VLOOKUP('INPUT_CP4'!E30,$A$7:$D$15,2,FALSE),VLOOKUP('INPUT_CP4'!E30,$A$7:$D$15,4,FALSE))</f>
      </c>
      <c r="F56">
        <f>IF('INPUT_CP4'!D35="A",1/VLOOKUP('INPUT_CP4'!E35,$A$7:$D$15,2,FALSE),VLOOKUP('INPUT_CP4'!E35,$A$7:$D$15,4,FALSE))</f>
      </c>
      <c r="G56">
        <v>1</v>
      </c>
      <c r="H56">
        <f>IF('INPUT_CP4'!D40="A",VLOOKUP('INPUT_CP4'!E40,$A$7:$D$15,4,FALSE),1/VLOOKUP('INPUT_CP4'!E40,$A$7:$D$15,2,FALSE))</f>
      </c>
      <c r="I56">
        <f>IF('INPUT_CP4'!D41="A",VLOOKUP('INPUT_CP4'!E41,$A$7:$D$15,4,FALSE),1/VLOOKUP('INPUT_CP4'!E41,$A$7:$D$15,2,FALSE))</f>
      </c>
      <c r="J56">
        <f>IF('INPUT_CP4'!D42="A",VLOOKUP('INPUT_CP4'!E42,$A$7:$D$15,4,FALSE),1/VLOOKUP('INPUT_CP4'!E42,$A$7:$D$15,2,FALSE))</f>
      </c>
      <c r="K56">
        <f>IF('INPUT_CP4'!D43="A",VLOOKUP('INPUT_CP4'!E43,$A$7:$D$15,4,FALSE),1/VLOOKUP('INPUT_CP4'!E43,$A$7:$D$15,2,FALSE))</f>
      </c>
      <c r="L56">
        <f>SUM(B56:K56)</f>
      </c>
    </row>
    <row r="57">
      <c r="A57" t="str">
        <v>R6</v>
      </c>
      <c r="B57">
        <f>IF('INPUT_CP4'!D10="A",1/VLOOKUP('INPUT_CP4'!E10,$A$7:$D$15,2,FALSE),VLOOKUP('INPUT_CP4'!E10,$A$7:$D$15,4,FALSE))</f>
      </c>
      <c r="C57">
        <f>IF('INPUT_CP4'!D18="A",1/VLOOKUP('INPUT_CP4'!E18,$A$7:$D$15,2,FALSE),VLOOKUP('INPUT_CP4'!E18,$A$7:$D$15,4,FALSE))</f>
      </c>
      <c r="D57">
        <f>IF('INPUT_CP4'!D25="A",1/VLOOKUP('INPUT_CP4'!E25,$A$7:$D$15,2,FALSE),VLOOKUP('INPUT_CP4'!E25,$A$7:$D$15,4,FALSE))</f>
      </c>
      <c r="E57">
        <f>IF('INPUT_CP4'!D31="A",1/VLOOKUP('INPUT_CP4'!E31,$A$7:$D$15,2,FALSE),VLOOKUP('INPUT_CP4'!E31,$A$7:$D$15,4,FALSE))</f>
      </c>
      <c r="F57">
        <f>IF('INPUT_CP4'!D36="A",1/VLOOKUP('INPUT_CP4'!E36,$A$7:$D$15,2,FALSE),VLOOKUP('INPUT_CP4'!E36,$A$7:$D$15,4,FALSE))</f>
      </c>
      <c r="G57">
        <f>IF('INPUT_CP4'!D40="A",1/VLOOKUP('INPUT_CP4'!E40,$A$7:$D$15,2,FALSE),VLOOKUP('INPUT_CP4'!E40,$A$7:$D$15,4,FALSE))</f>
      </c>
      <c r="H57">
        <v>1</v>
      </c>
      <c r="I57">
        <f>IF('INPUT_CP4'!D44="A",VLOOKUP('INPUT_CP4'!E44,$A$7:$D$15,4,FALSE),1/VLOOKUP('INPUT_CP4'!E44,$A$7:$D$15,2,FALSE))</f>
      </c>
      <c r="J57">
        <f>IF('INPUT_CP4'!D45="A",VLOOKUP('INPUT_CP4'!E45,$A$7:$D$15,4,FALSE),1/VLOOKUP('INPUT_CP4'!E45,$A$7:$D$15,2,FALSE))</f>
      </c>
      <c r="K57">
        <f>IF('INPUT_CP4'!D46="A",VLOOKUP('INPUT_CP4'!E46,$A$7:$D$15,4,FALSE),1/VLOOKUP('INPUT_CP4'!E46,$A$7:$D$15,2,FALSE))</f>
      </c>
      <c r="L57">
        <f>SUM(B57:K57)</f>
      </c>
    </row>
    <row r="58">
      <c r="A58" t="str">
        <v>R7</v>
      </c>
      <c r="B58">
        <f>IF('INPUT_CP4'!D11="A",1/VLOOKUP('INPUT_CP4'!E11,$A$7:$D$15,2,FALSE),VLOOKUP('INPUT_CP4'!E11,$A$7:$D$15,4,FALSE))</f>
      </c>
      <c r="C58">
        <f>IF('INPUT_CP4'!D19="A",1/VLOOKUP('INPUT_CP4'!E19,$A$7:$D$15,2,FALSE),VLOOKUP('INPUT_CP4'!E19,$A$7:$D$15,4,FALSE))</f>
      </c>
      <c r="D58">
        <f>IF('INPUT_CP4'!D26="A",1/VLOOKUP('INPUT_CP4'!E26,$A$7:$D$15,2,FALSE),VLOOKUP('INPUT_CP4'!E26,$A$7:$D$15,4,FALSE))</f>
      </c>
      <c r="E58">
        <f>IF('INPUT_CP4'!D32="A",1/VLOOKUP('INPUT_CP4'!E32,$A$7:$D$15,2,FALSE),VLOOKUP('INPUT_CP4'!E32,$A$7:$D$15,4,FALSE))</f>
      </c>
      <c r="F58">
        <f>IF('INPUT_CP4'!D37="A",1/VLOOKUP('INPUT_CP4'!E37,$A$7:$D$15,2,FALSE),VLOOKUP('INPUT_CP4'!E37,$A$7:$D$15,4,FALSE))</f>
      </c>
      <c r="G58">
        <f>IF('INPUT_CP4'!D41="A",1/VLOOKUP('INPUT_CP4'!E41,$A$7:$D$15,2,FALSE),VLOOKUP('INPUT_CP4'!E41,$A$7:$D$15,4,FALSE))</f>
      </c>
      <c r="H58">
        <f>IF('INPUT_CP4'!D44="A",1/VLOOKUP('INPUT_CP4'!E44,$A$7:$D$15,2,FALSE),VLOOKUP('INPUT_CP4'!E44,$A$7:$D$15,4,FALSE))</f>
      </c>
      <c r="I58">
        <v>1</v>
      </c>
      <c r="J58">
        <f>IF('INPUT_CP4'!D47="A",VLOOKUP('INPUT_CP4'!E47,$A$7:$D$15,4,FALSE),1/VLOOKUP('INPUT_CP4'!E47,$A$7:$D$15,2,FALSE))</f>
      </c>
      <c r="K58">
        <f>IF('INPUT_CP4'!D48="A",VLOOKUP('INPUT_CP4'!E48,$A$7:$D$15,4,FALSE),1/VLOOKUP('INPUT_CP4'!E48,$A$7:$D$15,2,FALSE))</f>
      </c>
      <c r="L58">
        <f>SUM(B58:K58)</f>
      </c>
    </row>
    <row r="59">
      <c r="A59" t="str">
        <v>R8</v>
      </c>
      <c r="B59">
        <f>IF('INPUT_CP4'!D12="A",1/VLOOKUP('INPUT_CP4'!E12,$A$7:$D$15,2,FALSE),VLOOKUP('INPUT_CP4'!E12,$A$7:$D$15,4,FALSE))</f>
      </c>
      <c r="C59">
        <f>IF('INPUT_CP4'!D20="A",1/VLOOKUP('INPUT_CP4'!E20,$A$7:$D$15,2,FALSE),VLOOKUP('INPUT_CP4'!E20,$A$7:$D$15,4,FALSE))</f>
      </c>
      <c r="D59">
        <f>IF('INPUT_CP4'!D27="A",1/VLOOKUP('INPUT_CP4'!E27,$A$7:$D$15,2,FALSE),VLOOKUP('INPUT_CP4'!E27,$A$7:$D$15,4,FALSE))</f>
      </c>
      <c r="E59">
        <f>IF('INPUT_CP4'!D33="A",1/VLOOKUP('INPUT_CP4'!E33,$A$7:$D$15,2,FALSE),VLOOKUP('INPUT_CP4'!E33,$A$7:$D$15,4,FALSE))</f>
      </c>
      <c r="F59">
        <f>IF('INPUT_CP4'!D38="A",1/VLOOKUP('INPUT_CP4'!E38,$A$7:$D$15,2,FALSE),VLOOKUP('INPUT_CP4'!E38,$A$7:$D$15,4,FALSE))</f>
      </c>
      <c r="G59">
        <f>IF('INPUT_CP4'!D42="A",1/VLOOKUP('INPUT_CP4'!E42,$A$7:$D$15,2,FALSE),VLOOKUP('INPUT_CP4'!E42,$A$7:$D$15,4,FALSE))</f>
      </c>
      <c r="H59">
        <f>IF('INPUT_CP4'!D45="A",1/VLOOKUP('INPUT_CP4'!E45,$A$7:$D$15,2,FALSE),VLOOKUP('INPUT_CP4'!E45,$A$7:$D$15,4,FALSE))</f>
      </c>
      <c r="I59">
        <f>IF('INPUT_CP4'!D47="A",1/VLOOKUP('INPUT_CP4'!E47,$A$7:$D$15,2,FALSE),VLOOKUP('INPUT_CP4'!E47,$A$7:$D$15,4,FALSE))</f>
      </c>
      <c r="J59">
        <v>1</v>
      </c>
      <c r="K59">
        <f>IF('INPUT_CP4'!D49="A",VLOOKUP('INPUT_CP4'!E49,$A$7:$D$15,4,FALSE),1/VLOOKUP('INPUT_CP4'!E49,$A$7:$D$15,2,FALSE))</f>
      </c>
      <c r="L59">
        <f>SUM(B59:K59)</f>
      </c>
    </row>
    <row r="60">
      <c r="A60" t="str">
        <v>R9</v>
      </c>
      <c r="B60">
        <f>IF('INPUT_CP4'!D13="A",1/VLOOKUP('INPUT_CP4'!E13,$A$7:$D$15,2,FALSE),VLOOKUP('INPUT_CP4'!E13,$A$7:$D$15,4,FALSE))</f>
      </c>
      <c r="C60">
        <f>IF('INPUT_CP4'!D21="A",1/VLOOKUP('INPUT_CP4'!E21,$A$7:$D$15,2,FALSE),VLOOKUP('INPUT_CP4'!E21,$A$7:$D$15,4,FALSE))</f>
      </c>
      <c r="D60">
        <f>IF('INPUT_CP4'!D28="A",1/VLOOKUP('INPUT_CP4'!E28,$A$7:$D$15,2,FALSE),VLOOKUP('INPUT_CP4'!E28,$A$7:$D$15,4,FALSE))</f>
      </c>
      <c r="E60">
        <f>IF('INPUT_CP4'!D34="A",1/VLOOKUP('INPUT_CP4'!E34,$A$7:$D$15,2,FALSE),VLOOKUP('INPUT_CP4'!E34,$A$7:$D$15,4,FALSE))</f>
      </c>
      <c r="F60">
        <f>IF('INPUT_CP4'!D39="A",1/VLOOKUP('INPUT_CP4'!E39,$A$7:$D$15,2,FALSE),VLOOKUP('INPUT_CP4'!E39,$A$7:$D$15,4,FALSE))</f>
      </c>
      <c r="G60">
        <f>IF('INPUT_CP4'!D43="A",1/VLOOKUP('INPUT_CP4'!E43,$A$7:$D$15,2,FALSE),VLOOKUP('INPUT_CP4'!E43,$A$7:$D$15,4,FALSE))</f>
      </c>
      <c r="H60">
        <f>IF('INPUT_CP4'!D46="A",1/VLOOKUP('INPUT_CP4'!E46,$A$7:$D$15,2,FALSE),VLOOKUP('INPUT_CP4'!E46,$A$7:$D$15,4,FALSE))</f>
      </c>
      <c r="I60">
        <f>IF('INPUT_CP4'!D48="A",1/VLOOKUP('INPUT_CP4'!E48,$A$7:$D$15,2,FALSE),VLOOKUP('INPUT_CP4'!E48,$A$7:$D$15,4,FALSE))</f>
      </c>
      <c r="J60">
        <f>IF('INPUT_CP4'!D49="A",1/VLOOKUP('INPUT_CP4'!E49,$A$7:$D$15,2,FALSE),VLOOKUP('INPUT_CP4'!E49,$A$7:$D$15,4,FALSE))</f>
      </c>
      <c r="K60">
        <v>1</v>
      </c>
      <c r="L60">
        <f>SUM(B60:K60)</f>
      </c>
    </row>
    <row r="61">
      <c r="A61" t="str">
        <v>TOTAL</v>
      </c>
      <c r="L61">
        <f>SUM(L52:L61)</f>
      </c>
    </row>
  </sheetData>
  <ignoredErrors>
    <ignoredError numberStoredAsText="1" sqref="A1:N6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CP4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R1</v>
      </c>
      <c r="B7">
        <f>'FUZZY_CP4'!L21</f>
      </c>
      <c r="C7">
        <f>'FUZZY_CP4'!L37</f>
      </c>
      <c r="D7">
        <f>'FUZZY_CP4'!L52</f>
      </c>
      <c r="E7">
        <f>'FUZZY_CP4'!L31</f>
      </c>
      <c r="F7">
        <f>'FUZZY_CP4'!L46</f>
      </c>
      <c r="G7">
        <f>'FUZZY_CP4'!L61</f>
      </c>
      <c r="H7">
        <f>B7*(1/G7)</f>
      </c>
      <c r="I7">
        <f>C7*(1/F7)</f>
      </c>
      <c r="J7">
        <f>D7*(1/E7)</f>
      </c>
    </row>
    <row r="8">
      <c r="A8" t="str">
        <v>R10</v>
      </c>
      <c r="B8">
        <f>'FUZZY_CP4'!L22</f>
      </c>
      <c r="C8">
        <f>'FUZZY_CP4'!L38</f>
      </c>
      <c r="D8">
        <f>'FUZZY_CP4'!L53</f>
      </c>
      <c r="E8">
        <f>'FUZZY_CP4'!L31</f>
      </c>
      <c r="F8">
        <f>'FUZZY_CP4'!L46</f>
      </c>
      <c r="G8">
        <f>'FUZZY_CP4'!L61</f>
      </c>
      <c r="H8">
        <f>B8*(1/G8)</f>
      </c>
      <c r="I8">
        <f>C8*(1/F8)</f>
      </c>
      <c r="J8">
        <f>D8*(1/E8)</f>
      </c>
    </row>
    <row r="9">
      <c r="A9" t="str">
        <v>R2</v>
      </c>
      <c r="B9">
        <f>'FUZZY_CP4'!L23</f>
      </c>
      <c r="C9">
        <f>'FUZZY_CP4'!L39</f>
      </c>
      <c r="D9">
        <f>'FUZZY_CP4'!L54</f>
      </c>
      <c r="E9">
        <f>'FUZZY_CP4'!L31</f>
      </c>
      <c r="F9">
        <f>'FUZZY_CP4'!L46</f>
      </c>
      <c r="G9">
        <f>'FUZZY_CP4'!L61</f>
      </c>
      <c r="H9">
        <f>B9*(1/G9)</f>
      </c>
      <c r="I9">
        <f>C9*(1/F9)</f>
      </c>
      <c r="J9">
        <f>D9*(1/E9)</f>
      </c>
    </row>
    <row r="10">
      <c r="A10" t="str">
        <v>R3</v>
      </c>
      <c r="B10">
        <f>'FUZZY_CP4'!L24</f>
      </c>
      <c r="C10">
        <f>'FUZZY_CP4'!L40</f>
      </c>
      <c r="D10">
        <f>'FUZZY_CP4'!L55</f>
      </c>
      <c r="E10">
        <f>'FUZZY_CP4'!L31</f>
      </c>
      <c r="F10">
        <f>'FUZZY_CP4'!L46</f>
      </c>
      <c r="G10">
        <f>'FUZZY_CP4'!L61</f>
      </c>
      <c r="H10">
        <f>B10*(1/G10)</f>
      </c>
      <c r="I10">
        <f>C10*(1/F10)</f>
      </c>
      <c r="J10">
        <f>D10*(1/E10)</f>
      </c>
    </row>
    <row r="11">
      <c r="A11" t="str">
        <v>R4</v>
      </c>
      <c r="B11">
        <f>'FUZZY_CP4'!L25</f>
      </c>
      <c r="C11">
        <f>'FUZZY_CP4'!L41</f>
      </c>
      <c r="D11">
        <f>'FUZZY_CP4'!L56</f>
      </c>
      <c r="E11">
        <f>'FUZZY_CP4'!L31</f>
      </c>
      <c r="F11">
        <f>'FUZZY_CP4'!L46</f>
      </c>
      <c r="G11">
        <f>'FUZZY_CP4'!L61</f>
      </c>
      <c r="H11">
        <f>B11*(1/G11)</f>
      </c>
      <c r="I11">
        <f>C11*(1/F11)</f>
      </c>
      <c r="J11">
        <f>D11*(1/E11)</f>
      </c>
    </row>
    <row r="12">
      <c r="A12" t="str">
        <v>R5</v>
      </c>
      <c r="B12">
        <f>'FUZZY_CP4'!L26</f>
      </c>
      <c r="C12">
        <f>'FUZZY_CP4'!L42</f>
      </c>
      <c r="D12">
        <f>'FUZZY_CP4'!L57</f>
      </c>
      <c r="E12">
        <f>'FUZZY_CP4'!L31</f>
      </c>
      <c r="F12">
        <f>'FUZZY_CP4'!L46</f>
      </c>
      <c r="G12">
        <f>'FUZZY_CP4'!L61</f>
      </c>
      <c r="H12">
        <f>B12*(1/G12)</f>
      </c>
      <c r="I12">
        <f>C12*(1/F12)</f>
      </c>
      <c r="J12">
        <f>D12*(1/E12)</f>
      </c>
    </row>
    <row r="13">
      <c r="A13" t="str">
        <v>R6</v>
      </c>
      <c r="B13">
        <f>'FUZZY_CP4'!L27</f>
      </c>
      <c r="C13">
        <f>'FUZZY_CP4'!L43</f>
      </c>
      <c r="D13">
        <f>'FUZZY_CP4'!L58</f>
      </c>
      <c r="E13">
        <f>'FUZZY_CP4'!L31</f>
      </c>
      <c r="F13">
        <f>'FUZZY_CP4'!L46</f>
      </c>
      <c r="G13">
        <f>'FUZZY_CP4'!L61</f>
      </c>
      <c r="H13">
        <f>B13*(1/G13)</f>
      </c>
      <c r="I13">
        <f>C13*(1/F13)</f>
      </c>
      <c r="J13">
        <f>D13*(1/E13)</f>
      </c>
    </row>
    <row r="14">
      <c r="A14" t="str">
        <v>R7</v>
      </c>
      <c r="B14">
        <f>'FUZZY_CP4'!L28</f>
      </c>
      <c r="C14">
        <f>'FUZZY_CP4'!L44</f>
      </c>
      <c r="D14">
        <f>'FUZZY_CP4'!L59</f>
      </c>
      <c r="E14">
        <f>'FUZZY_CP4'!L31</f>
      </c>
      <c r="F14">
        <f>'FUZZY_CP4'!L46</f>
      </c>
      <c r="G14">
        <f>'FUZZY_CP4'!L61</f>
      </c>
      <c r="H14">
        <f>B14*(1/G14)</f>
      </c>
      <c r="I14">
        <f>C14*(1/F14)</f>
      </c>
      <c r="J14">
        <f>D14*(1/E14)</f>
      </c>
    </row>
    <row r="15">
      <c r="A15" t="str">
        <v>R8</v>
      </c>
      <c r="B15">
        <f>'FUZZY_CP4'!L29</f>
      </c>
      <c r="C15">
        <f>'FUZZY_CP4'!L45</f>
      </c>
      <c r="D15">
        <f>'FUZZY_CP4'!L60</f>
      </c>
      <c r="E15">
        <f>'FUZZY_CP4'!L31</f>
      </c>
      <c r="F15">
        <f>'FUZZY_CP4'!L46</f>
      </c>
      <c r="G15">
        <f>'FUZZY_CP4'!L61</f>
      </c>
      <c r="H15">
        <f>B15*(1/G15)</f>
      </c>
      <c r="I15">
        <f>C15*(1/F15)</f>
      </c>
      <c r="J15">
        <f>D15*(1/E15)</f>
      </c>
    </row>
    <row r="16">
      <c r="A16" t="str">
        <v>R9</v>
      </c>
      <c r="B16">
        <f>'FUZZY_CP4'!L30</f>
      </c>
      <c r="C16">
        <f>'FUZZY_CP4'!L46</f>
      </c>
      <c r="D16">
        <f>'FUZZY_CP4'!L61</f>
      </c>
      <c r="E16">
        <f>'FUZZY_CP4'!L31</f>
      </c>
      <c r="F16">
        <f>'FUZZY_CP4'!L46</f>
      </c>
      <c r="G16">
        <f>'FUZZY_CP4'!L61</f>
      </c>
      <c r="H16">
        <f>B16*(1/G16)</f>
      </c>
      <c r="I16">
        <f>C16*(1/F16)</f>
      </c>
      <c r="J16">
        <f>D16*(1/E16)</f>
      </c>
    </row>
    <row r="19">
      <c r="A19" t="str">
        <v>LANGKAH 2: Defuzzifikasi (Center of Area) + Normalisasi</v>
      </c>
    </row>
    <row r="20">
      <c r="A20" t="str">
        <v>Kriteria</v>
      </c>
      <c r="B20" t="str">
        <v>Si_l</v>
      </c>
      <c r="C20" t="str">
        <v>Si_m</v>
      </c>
      <c r="D20" t="str">
        <v>Si_u</v>
      </c>
      <c r="E20" t="str">
        <v>Defuzzy = (l+m+u)/3</v>
      </c>
      <c r="F20" t="str">
        <v>Bobot Normal</v>
      </c>
      <c r="G20" t="str">
        <v>Bobot %</v>
      </c>
      <c r="H20" t="str">
        <v>Ranking</v>
      </c>
    </row>
    <row r="21">
      <c r="A21" t="str">
        <v>R1</v>
      </c>
      <c r="B21">
        <f>H7</f>
      </c>
      <c r="C21">
        <f>I7</f>
      </c>
      <c r="D21">
        <f>J7</f>
      </c>
      <c r="E21">
        <f>(B21+C21+D21)/3</f>
      </c>
      <c r="F21">
        <f>E21/E31</f>
      </c>
      <c r="G21">
        <f>F21*100</f>
      </c>
      <c r="H21">
        <f>RANK(F21,F$21:F$30,0)</f>
      </c>
    </row>
    <row r="22">
      <c r="A22" t="str">
        <v>R10</v>
      </c>
      <c r="B22">
        <f>H8</f>
      </c>
      <c r="C22">
        <f>I8</f>
      </c>
      <c r="D22">
        <f>J8</f>
      </c>
      <c r="E22">
        <f>(B22+C22+D22)/3</f>
      </c>
      <c r="F22">
        <f>E22/E31</f>
      </c>
      <c r="G22">
        <f>F22*100</f>
      </c>
      <c r="H22">
        <f>RANK(F22,F$21:F$30,0)</f>
      </c>
    </row>
    <row r="23">
      <c r="A23" t="str">
        <v>R2</v>
      </c>
      <c r="B23">
        <f>H9</f>
      </c>
      <c r="C23">
        <f>I9</f>
      </c>
      <c r="D23">
        <f>J9</f>
      </c>
      <c r="E23">
        <f>(B23+C23+D23)/3</f>
      </c>
      <c r="F23">
        <f>E23/E31</f>
      </c>
      <c r="G23">
        <f>F23*100</f>
      </c>
      <c r="H23">
        <f>RANK(F23,F$21:F$30,0)</f>
      </c>
    </row>
    <row r="24">
      <c r="A24" t="str">
        <v>R3</v>
      </c>
      <c r="B24">
        <f>H10</f>
      </c>
      <c r="C24">
        <f>I10</f>
      </c>
      <c r="D24">
        <f>J10</f>
      </c>
      <c r="E24">
        <f>(B24+C24+D24)/3</f>
      </c>
      <c r="F24">
        <f>E24/E31</f>
      </c>
      <c r="G24">
        <f>F24*100</f>
      </c>
      <c r="H24">
        <f>RANK(F24,F$21:F$30,0)</f>
      </c>
    </row>
    <row r="25">
      <c r="A25" t="str">
        <v>R4</v>
      </c>
      <c r="B25">
        <f>H11</f>
      </c>
      <c r="C25">
        <f>I11</f>
      </c>
      <c r="D25">
        <f>J11</f>
      </c>
      <c r="E25">
        <f>(B25+C25+D25)/3</f>
      </c>
      <c r="F25">
        <f>E25/E31</f>
      </c>
      <c r="G25">
        <f>F25*100</f>
      </c>
      <c r="H25">
        <f>RANK(F25,F$21:F$30,0)</f>
      </c>
    </row>
    <row r="26">
      <c r="A26" t="str">
        <v>R5</v>
      </c>
      <c r="B26">
        <f>H12</f>
      </c>
      <c r="C26">
        <f>I12</f>
      </c>
      <c r="D26">
        <f>J12</f>
      </c>
      <c r="E26">
        <f>(B26+C26+D26)/3</f>
      </c>
      <c r="F26">
        <f>E26/E31</f>
      </c>
      <c r="G26">
        <f>F26*100</f>
      </c>
      <c r="H26">
        <f>RANK(F26,F$21:F$30,0)</f>
      </c>
    </row>
    <row r="27">
      <c r="A27" t="str">
        <v>R6</v>
      </c>
      <c r="B27">
        <f>H13</f>
      </c>
      <c r="C27">
        <f>I13</f>
      </c>
      <c r="D27">
        <f>J13</f>
      </c>
      <c r="E27">
        <f>(B27+C27+D27)/3</f>
      </c>
      <c r="F27">
        <f>E27/E31</f>
      </c>
      <c r="G27">
        <f>F27*100</f>
      </c>
      <c r="H27">
        <f>RANK(F27,F$21:F$30,0)</f>
      </c>
    </row>
    <row r="28">
      <c r="A28" t="str">
        <v>R7</v>
      </c>
      <c r="B28">
        <f>H14</f>
      </c>
      <c r="C28">
        <f>I14</f>
      </c>
      <c r="D28">
        <f>J14</f>
      </c>
      <c r="E28">
        <f>(B28+C28+D28)/3</f>
      </c>
      <c r="F28">
        <f>E28/E31</f>
      </c>
      <c r="G28">
        <f>F28*100</f>
      </c>
      <c r="H28">
        <f>RANK(F28,F$21:F$30,0)</f>
      </c>
    </row>
    <row r="29">
      <c r="A29" t="str">
        <v>R8</v>
      </c>
      <c r="B29">
        <f>H15</f>
      </c>
      <c r="C29">
        <f>I15</f>
      </c>
      <c r="D29">
        <f>J15</f>
      </c>
      <c r="E29">
        <f>(B29+C29+D29)/3</f>
      </c>
      <c r="F29">
        <f>E29/E31</f>
      </c>
      <c r="G29">
        <f>F29*100</f>
      </c>
      <c r="H29">
        <f>RANK(F29,F$21:F$30,0)</f>
      </c>
    </row>
    <row r="30">
      <c r="A30" t="str">
        <v>R9</v>
      </c>
      <c r="B30">
        <f>H16</f>
      </c>
      <c r="C30">
        <f>I16</f>
      </c>
      <c r="D30">
        <f>J16</f>
      </c>
      <c r="E30">
        <f>(B30+C30+D30)/3</f>
      </c>
      <c r="F30">
        <f>E30/E31</f>
      </c>
      <c r="G30">
        <f>F30*100</f>
      </c>
      <c r="H30">
        <f>RANK(F30,F$21:F$30,0)</f>
      </c>
    </row>
    <row r="31">
      <c r="D31" t="str">
        <v>TOTAL</v>
      </c>
      <c r="E31">
        <f>SUM(E21:E30)</f>
      </c>
    </row>
  </sheetData>
  <ignoredErrors>
    <ignoredError numberStoredAsText="1" sqref="A1:K3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CP5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PS1</v>
      </c>
      <c r="C5" t="str">
        <v>PS2</v>
      </c>
      <c r="D5" t="str">
        <v>A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PS1</v>
      </c>
      <c r="C6" t="str">
        <v>PS3</v>
      </c>
      <c r="D6" t="str">
        <v>A</v>
      </c>
      <c r="E6">
        <v>1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PS1</v>
      </c>
      <c r="C7" t="str">
        <v>PS4</v>
      </c>
      <c r="D7" t="str">
        <v>A</v>
      </c>
      <c r="E7">
        <v>1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PS1</v>
      </c>
      <c r="C8" t="str">
        <v>PS5</v>
      </c>
      <c r="D8" t="str">
        <v>A</v>
      </c>
      <c r="E8">
        <v>2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PS2</v>
      </c>
      <c r="C9" t="str">
        <v>PS3</v>
      </c>
      <c r="D9" t="str">
        <v>A</v>
      </c>
      <c r="E9">
        <v>1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PS2</v>
      </c>
      <c r="C10" t="str">
        <v>PS4</v>
      </c>
      <c r="D10" t="str">
        <v>A</v>
      </c>
      <c r="E10">
        <v>1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PS2</v>
      </c>
      <c r="C11" t="str">
        <v>PS5</v>
      </c>
      <c r="D11" t="str">
        <v>A</v>
      </c>
      <c r="E11">
        <v>2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PS3</v>
      </c>
      <c r="C12" t="str">
        <v>PS4</v>
      </c>
      <c r="D12" t="str">
        <v>A</v>
      </c>
      <c r="E12">
        <v>1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PS3</v>
      </c>
      <c r="C13" t="str">
        <v>PS5</v>
      </c>
      <c r="D13" t="str">
        <v>A</v>
      </c>
      <c r="E13">
        <v>2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PS4</v>
      </c>
      <c r="C14" t="str">
        <v>PS5</v>
      </c>
      <c r="D14" t="str">
        <v>A</v>
      </c>
      <c r="E14">
        <v>2</v>
      </c>
      <c r="F14">
        <f>IF(E14=1,"Sama Penting",IF(E14=3,"Sedikit Lebih Penting",IF(E14=5,"Lebih Penting",IF(E14=7,"Sangat Lebih Penting",IF(E14=9,"Mutlak Lebih Penting","Nilai Antara")))))</f>
      </c>
    </row>
    <row r="17">
      <c r="A17" t="str">
        <v>Tabel Random Index (RI) — Saaty</v>
      </c>
    </row>
    <row r="18">
      <c r="A18" t="str">
        <v>n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</row>
    <row r="19">
      <c r="A19" t="str">
        <v>RI</v>
      </c>
      <c r="B19">
        <v>0</v>
      </c>
      <c r="C19">
        <v>0</v>
      </c>
      <c r="D19">
        <v>0.58</v>
      </c>
      <c r="E19">
        <v>0.9</v>
      </c>
      <c r="F19">
        <v>1.12</v>
      </c>
      <c r="G19">
        <v>1.24</v>
      </c>
      <c r="H19">
        <v>1.32</v>
      </c>
      <c r="I19">
        <v>1.41</v>
      </c>
      <c r="J19">
        <v>1.45</v>
      </c>
      <c r="K19">
        <v>1.49</v>
      </c>
    </row>
    <row r="21">
      <c r="A21" t="str">
        <v>Skala Saaty → TFN (Triangular Fuzzy Number)</v>
      </c>
    </row>
    <row r="22">
      <c r="A22" t="str">
        <v>Skala</v>
      </c>
      <c r="B22" t="str">
        <v>l</v>
      </c>
      <c r="C22" t="str">
        <v>m</v>
      </c>
      <c r="D22" t="str">
        <v>u</v>
      </c>
    </row>
    <row r="23">
      <c r="A23">
        <v>1</v>
      </c>
      <c r="B23">
        <v>1</v>
      </c>
      <c r="C23">
        <v>1</v>
      </c>
      <c r="D23">
        <v>1</v>
      </c>
    </row>
    <row r="24">
      <c r="A24">
        <v>2</v>
      </c>
      <c r="B24">
        <v>1</v>
      </c>
      <c r="C24">
        <v>2</v>
      </c>
      <c r="D24">
        <v>3</v>
      </c>
    </row>
    <row r="25">
      <c r="A25">
        <v>3</v>
      </c>
      <c r="B25">
        <v>1</v>
      </c>
      <c r="C25">
        <v>3</v>
      </c>
      <c r="D25">
        <v>5</v>
      </c>
    </row>
    <row r="26">
      <c r="A26">
        <v>4</v>
      </c>
      <c r="B26">
        <v>3</v>
      </c>
      <c r="C26">
        <v>4</v>
      </c>
      <c r="D26">
        <v>5</v>
      </c>
    </row>
    <row r="27">
      <c r="A27">
        <v>5</v>
      </c>
      <c r="B27">
        <v>3</v>
      </c>
      <c r="C27">
        <v>5</v>
      </c>
      <c r="D27">
        <v>7</v>
      </c>
    </row>
    <row r="28">
      <c r="A28">
        <v>6</v>
      </c>
      <c r="B28">
        <v>5</v>
      </c>
      <c r="C28">
        <v>6</v>
      </c>
      <c r="D28">
        <v>7</v>
      </c>
    </row>
    <row r="29">
      <c r="A29">
        <v>7</v>
      </c>
      <c r="B29">
        <v>5</v>
      </c>
      <c r="C29">
        <v>7</v>
      </c>
      <c r="D29">
        <v>9</v>
      </c>
    </row>
    <row r="30">
      <c r="A30">
        <v>8</v>
      </c>
      <c r="B30">
        <v>7</v>
      </c>
      <c r="C30">
        <v>8</v>
      </c>
      <c r="D30">
        <v>9</v>
      </c>
    </row>
    <row r="31">
      <c r="A31">
        <v>9</v>
      </c>
      <c r="B31">
        <v>7</v>
      </c>
      <c r="C31">
        <v>9</v>
      </c>
      <c r="D31">
        <v>9</v>
      </c>
    </row>
  </sheetData>
  <ignoredErrors>
    <ignoredError numberStoredAsText="1" sqref="A1:K3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MATRIKS PERBANDINGAN BERPASANGAN — Level 2 — Sub-Kriteria CP5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PS1</v>
      </c>
      <c r="C5" t="str">
        <v>PS2</v>
      </c>
      <c r="D5" t="str">
        <v>PS3</v>
      </c>
      <c r="E5" t="str">
        <v>PS4</v>
      </c>
      <c r="F5" t="str">
        <v>PS5</v>
      </c>
    </row>
    <row r="6">
      <c r="A6" t="str">
        <v>PS1</v>
      </c>
      <c r="B6">
        <v>1</v>
      </c>
      <c r="C6">
        <f>IF('INPUT_CP5'!D5="A",'INPUT_CP5'!E5,1/'INPUT_CP5'!E5)</f>
      </c>
      <c r="D6">
        <f>IF('INPUT_CP5'!D6="A",'INPUT_CP5'!E6,1/'INPUT_CP5'!E6)</f>
      </c>
      <c r="E6">
        <f>IF('INPUT_CP5'!D7="A",'INPUT_CP5'!E7,1/'INPUT_CP5'!E7)</f>
      </c>
      <c r="F6">
        <f>IF('INPUT_CP5'!D8="A",'INPUT_CP5'!E8,1/'INPUT_CP5'!E8)</f>
      </c>
    </row>
    <row r="7">
      <c r="A7" t="str">
        <v>PS2</v>
      </c>
      <c r="B7">
        <f>1/C6</f>
      </c>
      <c r="C7">
        <v>1</v>
      </c>
      <c r="D7">
        <f>IF('INPUT_CP5'!D9="A",'INPUT_CP5'!E9,1/'INPUT_CP5'!E9)</f>
      </c>
      <c r="E7">
        <f>IF('INPUT_CP5'!D10="A",'INPUT_CP5'!E10,1/'INPUT_CP5'!E10)</f>
      </c>
      <c r="F7">
        <f>IF('INPUT_CP5'!D11="A",'INPUT_CP5'!E11,1/'INPUT_CP5'!E11)</f>
      </c>
    </row>
    <row r="8">
      <c r="A8" t="str">
        <v>PS3</v>
      </c>
      <c r="B8">
        <f>1/D6</f>
      </c>
      <c r="C8">
        <f>1/D7</f>
      </c>
      <c r="D8">
        <v>1</v>
      </c>
      <c r="E8">
        <f>IF('INPUT_CP5'!D12="A",'INPUT_CP5'!E12,1/'INPUT_CP5'!E12)</f>
      </c>
      <c r="F8">
        <f>IF('INPUT_CP5'!D13="A",'INPUT_CP5'!E13,1/'INPUT_CP5'!E13)</f>
      </c>
    </row>
    <row r="9">
      <c r="A9" t="str">
        <v>PS4</v>
      </c>
      <c r="B9">
        <f>1/E6</f>
      </c>
      <c r="C9">
        <f>1/E7</f>
      </c>
      <c r="D9">
        <f>1/E8</f>
      </c>
      <c r="E9">
        <v>1</v>
      </c>
      <c r="F9">
        <f>IF('INPUT_CP5'!D14="A",'INPUT_CP5'!E14,1/'INPUT_CP5'!E14)</f>
      </c>
    </row>
    <row r="10">
      <c r="A10" t="str">
        <v>PS5</v>
      </c>
      <c r="B10">
        <f>1/F6</f>
      </c>
      <c r="C10">
        <f>1/F7</f>
      </c>
      <c r="D10">
        <f>1/F8</f>
      </c>
      <c r="E10">
        <f>1/F9</f>
      </c>
      <c r="F10">
        <v>1</v>
      </c>
    </row>
    <row r="12">
      <c r="A12" t="str">
        <v>Jumlah Kolom</v>
      </c>
      <c r="B12">
        <f>SUM(B7:B11)</f>
      </c>
      <c r="C12">
        <f>SUM(C7:C11)</f>
      </c>
      <c r="D12">
        <f>SUM(D7:D11)</f>
      </c>
      <c r="E12">
        <f>SUM(E7:E11)</f>
      </c>
      <c r="F12">
        <f>SUM(F7:F11)</f>
      </c>
    </row>
  </sheetData>
  <ignoredErrors>
    <ignoredError numberStoredAsText="1" sqref="A1:G14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8.83203125" customWidth="1"/>
  </cols>
  <sheetData>
    <row r="1">
      <c r="A1" t="str">
        <v>NORMALISASI &amp; BOBOT PRIORITAS — Level 2 — Sub-Kriteria CP5</v>
      </c>
    </row>
    <row r="2">
      <c r="A2" t="str">
        <v>Normalisasi kolom: setiap sel dibagi jumlah kolomnya</v>
      </c>
    </row>
    <row r="4">
      <c r="A4" t="str">
        <v/>
      </c>
      <c r="B4" t="str">
        <v>PS1</v>
      </c>
      <c r="C4" t="str">
        <v>PS2</v>
      </c>
      <c r="D4" t="str">
        <v>PS3</v>
      </c>
      <c r="E4" t="str">
        <v>PS4</v>
      </c>
      <c r="F4" t="str">
        <v>PS5</v>
      </c>
      <c r="G4" t="str">
        <v>Rata-rata (Bobot)</v>
      </c>
    </row>
    <row r="5">
      <c r="A5" t="str">
        <v>PS1</v>
      </c>
      <c r="B5">
        <f>'MATRIKS_CP5'!B6/'MATRIKS_CP5'!B12</f>
      </c>
      <c r="C5">
        <f>'MATRIKS_CP5'!C6/'MATRIKS_CP5'!C12</f>
      </c>
      <c r="D5">
        <f>'MATRIKS_CP5'!D6/'MATRIKS_CP5'!D12</f>
      </c>
      <c r="E5">
        <f>'MATRIKS_CP5'!E6/'MATRIKS_CP5'!E12</f>
      </c>
      <c r="F5">
        <f>'MATRIKS_CP5'!F6/'MATRIKS_CP5'!F12</f>
      </c>
      <c r="G5">
        <f>AVERAGE(B5:F5)</f>
      </c>
    </row>
    <row r="6">
      <c r="A6" t="str">
        <v>PS2</v>
      </c>
      <c r="B6">
        <f>'MATRIKS_CP5'!B7/'MATRIKS_CP5'!B12</f>
      </c>
      <c r="C6">
        <f>'MATRIKS_CP5'!C7/'MATRIKS_CP5'!C12</f>
      </c>
      <c r="D6">
        <f>'MATRIKS_CP5'!D7/'MATRIKS_CP5'!D12</f>
      </c>
      <c r="E6">
        <f>'MATRIKS_CP5'!E7/'MATRIKS_CP5'!E12</f>
      </c>
      <c r="F6">
        <f>'MATRIKS_CP5'!F7/'MATRIKS_CP5'!F12</f>
      </c>
      <c r="G6">
        <f>AVERAGE(B6:F6)</f>
      </c>
    </row>
    <row r="7">
      <c r="A7" t="str">
        <v>PS3</v>
      </c>
      <c r="B7">
        <f>'MATRIKS_CP5'!B8/'MATRIKS_CP5'!B12</f>
      </c>
      <c r="C7">
        <f>'MATRIKS_CP5'!C8/'MATRIKS_CP5'!C12</f>
      </c>
      <c r="D7">
        <f>'MATRIKS_CP5'!D8/'MATRIKS_CP5'!D12</f>
      </c>
      <c r="E7">
        <f>'MATRIKS_CP5'!E8/'MATRIKS_CP5'!E12</f>
      </c>
      <c r="F7">
        <f>'MATRIKS_CP5'!F8/'MATRIKS_CP5'!F12</f>
      </c>
      <c r="G7">
        <f>AVERAGE(B7:F7)</f>
      </c>
    </row>
    <row r="8">
      <c r="A8" t="str">
        <v>PS4</v>
      </c>
      <c r="B8">
        <f>'MATRIKS_CP5'!B9/'MATRIKS_CP5'!B12</f>
      </c>
      <c r="C8">
        <f>'MATRIKS_CP5'!C9/'MATRIKS_CP5'!C12</f>
      </c>
      <c r="D8">
        <f>'MATRIKS_CP5'!D9/'MATRIKS_CP5'!D12</f>
      </c>
      <c r="E8">
        <f>'MATRIKS_CP5'!E9/'MATRIKS_CP5'!E12</f>
      </c>
      <c r="F8">
        <f>'MATRIKS_CP5'!F9/'MATRIKS_CP5'!F12</f>
      </c>
      <c r="G8">
        <f>AVERAGE(B8:F8)</f>
      </c>
    </row>
    <row r="9">
      <c r="A9" t="str">
        <v>PS5</v>
      </c>
      <c r="B9">
        <f>'MATRIKS_CP5'!B10/'MATRIKS_CP5'!B12</f>
      </c>
      <c r="C9">
        <f>'MATRIKS_CP5'!C10/'MATRIKS_CP5'!C12</f>
      </c>
      <c r="D9">
        <f>'MATRIKS_CP5'!D10/'MATRIKS_CP5'!D12</f>
      </c>
      <c r="E9">
        <f>'MATRIKS_CP5'!E10/'MATRIKS_CP5'!E12</f>
      </c>
      <c r="F9">
        <f>'MATRIKS_CP5'!F10/'MATRIKS_CP5'!F12</f>
      </c>
      <c r="G9">
        <f>AVERAGE(B9:F9)</f>
      </c>
    </row>
    <row r="11">
      <c r="F11" t="str">
        <v>Total</v>
      </c>
      <c r="G11">
        <f>SUM(G5:G9)</f>
      </c>
    </row>
  </sheetData>
  <ignoredErrors>
    <ignoredError numberStoredAsText="1" sqref="A1:H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CP5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PS1</v>
      </c>
      <c r="B6">
        <f>'NORM_CP5'!G5</f>
      </c>
      <c r="C6">
        <f>SUMPRODUCT('MATRIKS_CP5'!B6:'MATRIKS_CP5'!F6,$B6:$B10)</f>
      </c>
      <c r="D6">
        <f>C6/B6</f>
      </c>
    </row>
    <row r="7">
      <c r="A7" t="str">
        <v>PS2</v>
      </c>
      <c r="B7">
        <f>'NORM_CP5'!G6</f>
      </c>
      <c r="C7">
        <f>SUMPRODUCT('MATRIKS_CP5'!B7:'MATRIKS_CP5'!F7,$B6:$B10)</f>
      </c>
      <c r="D7">
        <f>C7/B7</f>
      </c>
    </row>
    <row r="8">
      <c r="A8" t="str">
        <v>PS3</v>
      </c>
      <c r="B8">
        <f>'NORM_CP5'!G7</f>
      </c>
      <c r="C8">
        <f>SUMPRODUCT('MATRIKS_CP5'!B8:'MATRIKS_CP5'!F8,$B6:$B10)</f>
      </c>
      <c r="D8">
        <f>C8/B8</f>
      </c>
    </row>
    <row r="9">
      <c r="A9" t="str">
        <v>PS4</v>
      </c>
      <c r="B9">
        <f>'NORM_CP5'!G8</f>
      </c>
      <c r="C9">
        <f>SUMPRODUCT('MATRIKS_CP5'!B9:'MATRIKS_CP5'!F9,$B6:$B10)</f>
      </c>
      <c r="D9">
        <f>C9/B9</f>
      </c>
    </row>
    <row r="10">
      <c r="A10" t="str">
        <v>PS5</v>
      </c>
      <c r="B10">
        <f>'NORM_CP5'!G9</f>
      </c>
      <c r="C10">
        <f>SUMPRODUCT('MATRIKS_CP5'!B10:'MATRIKS_CP5'!F10,$B6:$B10)</f>
      </c>
      <c r="D10">
        <f>C10/B10</f>
      </c>
    </row>
    <row r="13">
      <c r="A13" t="str">
        <v>LANGKAH 2: Perhitungan λmax, CI, CR</v>
      </c>
    </row>
    <row r="14">
      <c r="A14" t="str">
        <v>n (jumlah kriteria)</v>
      </c>
      <c r="B14">
        <v>5</v>
      </c>
    </row>
    <row r="15">
      <c r="A15" t="str">
        <v>λmax</v>
      </c>
      <c r="B15">
        <f>AVERAGE(D6:D10)</f>
      </c>
    </row>
    <row r="16">
      <c r="A16" t="str">
        <v>CI (Consistency Index)</v>
      </c>
      <c r="B16">
        <f>(B15-B14)/(B14-1)</f>
      </c>
    </row>
    <row r="17">
      <c r="A17" t="str">
        <v>RI (Random Index)</v>
      </c>
      <c r="B17">
        <v>1.12</v>
      </c>
    </row>
    <row r="18">
      <c r="A18" t="str">
        <v>CR (Consistency Ratio)</v>
      </c>
      <c r="B18">
        <f>B16/B17</f>
      </c>
    </row>
    <row r="20">
      <c r="A20" t="str">
        <v>KESIMPULAN</v>
      </c>
      <c r="B20">
        <f>IF(B18&lt;0.1,"KONSISTEN ✓ (CR &lt; 0.10)","TIDAK KONSISTEN ✗ (CR ≥ 0.10, perlu revisi)")</f>
      </c>
    </row>
    <row r="22">
      <c r="A22" t="str">
        <v>Catatan:</v>
      </c>
    </row>
    <row r="23">
      <c r="A23" t="str">
        <v>• CR &lt; 0.10 → Matriks dianggap konsisten</v>
      </c>
    </row>
    <row r="24">
      <c r="A24" t="str">
        <v>• CR ≥ 0.10 → Matriks TIDAK konsisten, perlu revisi penilaian</v>
      </c>
    </row>
    <row r="25">
      <c r="A25" t="str">
        <v>• λmax ideal ≈ n (jumlah kriteria)</v>
      </c>
    </row>
  </sheetData>
  <ignoredErrors>
    <ignoredError numberStoredAsText="1" sqref="A1:E2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MATRIKS TFN FUZZY — Level 2 — Sub-Kriteria CP5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PS1</v>
      </c>
      <c r="C19" t="str">
        <v>PS2</v>
      </c>
      <c r="D19" t="str">
        <v>PS3</v>
      </c>
      <c r="E19" t="str">
        <v>PS4</v>
      </c>
      <c r="F19" t="str">
        <v>PS5</v>
      </c>
    </row>
    <row r="20">
      <c r="A20" t="str">
        <v>PS1</v>
      </c>
      <c r="B20">
        <v>1</v>
      </c>
      <c r="C20">
        <f>IF('INPUT_CP5'!D5="A",VLOOKUP('INPUT_CP5'!E5,$A$7:$D$15,2,FALSE),1/VLOOKUP('INPUT_CP5'!E5,$A$7:$D$15,4,FALSE))</f>
      </c>
      <c r="D20">
        <f>IF('INPUT_CP5'!D6="A",VLOOKUP('INPUT_CP5'!E6,$A$7:$D$15,2,FALSE),1/VLOOKUP('INPUT_CP5'!E6,$A$7:$D$15,4,FALSE))</f>
      </c>
      <c r="E20">
        <f>IF('INPUT_CP5'!D7="A",VLOOKUP('INPUT_CP5'!E7,$A$7:$D$15,2,FALSE),1/VLOOKUP('INPUT_CP5'!E7,$A$7:$D$15,4,FALSE))</f>
      </c>
      <c r="F20">
        <f>IF('INPUT_CP5'!D8="A",VLOOKUP('INPUT_CP5'!E8,$A$7:$D$15,2,FALSE),1/VLOOKUP('INPUT_CP5'!E8,$A$7:$D$15,4,FALSE))</f>
      </c>
      <c r="G20" t="str">
        <v>Σ Baris</v>
      </c>
    </row>
    <row r="21">
      <c r="A21" t="str">
        <v>PS2</v>
      </c>
      <c r="B21">
        <f>IF('INPUT_CP5'!D5="A",1/VLOOKUP('INPUT_CP5'!E5,$A$7:$D$15,4,FALSE),VLOOKUP('INPUT_CP5'!E5,$A$7:$D$15,2,FALSE))</f>
      </c>
      <c r="C21">
        <v>1</v>
      </c>
      <c r="D21">
        <f>IF('INPUT_CP5'!D9="A",VLOOKUP('INPUT_CP5'!E9,$A$7:$D$15,2,FALSE),1/VLOOKUP('INPUT_CP5'!E9,$A$7:$D$15,4,FALSE))</f>
      </c>
      <c r="E21">
        <f>IF('INPUT_CP5'!D10="A",VLOOKUP('INPUT_CP5'!E10,$A$7:$D$15,2,FALSE),1/VLOOKUP('INPUT_CP5'!E10,$A$7:$D$15,4,FALSE))</f>
      </c>
      <c r="F21">
        <f>IF('INPUT_CP5'!D11="A",VLOOKUP('INPUT_CP5'!E11,$A$7:$D$15,2,FALSE),1/VLOOKUP('INPUT_CP5'!E11,$A$7:$D$15,4,FALSE))</f>
      </c>
      <c r="G21">
        <f>SUM(B21:F21)</f>
      </c>
    </row>
    <row r="22">
      <c r="A22" t="str">
        <v>PS3</v>
      </c>
      <c r="B22">
        <f>IF('INPUT_CP5'!D6="A",1/VLOOKUP('INPUT_CP5'!E6,$A$7:$D$15,4,FALSE),VLOOKUP('INPUT_CP5'!E6,$A$7:$D$15,2,FALSE))</f>
      </c>
      <c r="C22">
        <f>IF('INPUT_CP5'!D9="A",1/VLOOKUP('INPUT_CP5'!E9,$A$7:$D$15,4,FALSE),VLOOKUP('INPUT_CP5'!E9,$A$7:$D$15,2,FALSE))</f>
      </c>
      <c r="D22">
        <v>1</v>
      </c>
      <c r="E22">
        <f>IF('INPUT_CP5'!D12="A",VLOOKUP('INPUT_CP5'!E12,$A$7:$D$15,2,FALSE),1/VLOOKUP('INPUT_CP5'!E12,$A$7:$D$15,4,FALSE))</f>
      </c>
      <c r="F22">
        <f>IF('INPUT_CP5'!D13="A",VLOOKUP('INPUT_CP5'!E13,$A$7:$D$15,2,FALSE),1/VLOOKUP('INPUT_CP5'!E13,$A$7:$D$15,4,FALSE))</f>
      </c>
      <c r="G22">
        <f>SUM(B22:F22)</f>
      </c>
    </row>
    <row r="23">
      <c r="A23" t="str">
        <v>PS4</v>
      </c>
      <c r="B23">
        <f>IF('INPUT_CP5'!D7="A",1/VLOOKUP('INPUT_CP5'!E7,$A$7:$D$15,4,FALSE),VLOOKUP('INPUT_CP5'!E7,$A$7:$D$15,2,FALSE))</f>
      </c>
      <c r="C23">
        <f>IF('INPUT_CP5'!D10="A",1/VLOOKUP('INPUT_CP5'!E10,$A$7:$D$15,4,FALSE),VLOOKUP('INPUT_CP5'!E10,$A$7:$D$15,2,FALSE))</f>
      </c>
      <c r="D23">
        <f>IF('INPUT_CP5'!D12="A",1/VLOOKUP('INPUT_CP5'!E12,$A$7:$D$15,4,FALSE),VLOOKUP('INPUT_CP5'!E12,$A$7:$D$15,2,FALSE))</f>
      </c>
      <c r="E23">
        <v>1</v>
      </c>
      <c r="F23">
        <f>IF('INPUT_CP5'!D14="A",VLOOKUP('INPUT_CP5'!E14,$A$7:$D$15,2,FALSE),1/VLOOKUP('INPUT_CP5'!E14,$A$7:$D$15,4,FALSE))</f>
      </c>
      <c r="G23">
        <f>SUM(B23:F23)</f>
      </c>
    </row>
    <row r="24">
      <c r="A24" t="str">
        <v>PS5</v>
      </c>
      <c r="B24">
        <f>IF('INPUT_CP5'!D8="A",1/VLOOKUP('INPUT_CP5'!E8,$A$7:$D$15,4,FALSE),VLOOKUP('INPUT_CP5'!E8,$A$7:$D$15,2,FALSE))</f>
      </c>
      <c r="C24">
        <f>IF('INPUT_CP5'!D11="A",1/VLOOKUP('INPUT_CP5'!E11,$A$7:$D$15,4,FALSE),VLOOKUP('INPUT_CP5'!E11,$A$7:$D$15,2,FALSE))</f>
      </c>
      <c r="D24">
        <f>IF('INPUT_CP5'!D13="A",1/VLOOKUP('INPUT_CP5'!E13,$A$7:$D$15,4,FALSE),VLOOKUP('INPUT_CP5'!E13,$A$7:$D$15,2,FALSE))</f>
      </c>
      <c r="E24">
        <f>IF('INPUT_CP5'!D14="A",1/VLOOKUP('INPUT_CP5'!E14,$A$7:$D$15,4,FALSE),VLOOKUP('INPUT_CP5'!E14,$A$7:$D$15,2,FALSE))</f>
      </c>
      <c r="F24">
        <v>1</v>
      </c>
      <c r="G24">
        <f>SUM(B24:F24)</f>
      </c>
    </row>
    <row r="25">
      <c r="G25">
        <f>SUM(B25:F25)</f>
      </c>
    </row>
    <row r="26">
      <c r="A26" t="str">
        <v>TOTAL</v>
      </c>
      <c r="G26">
        <f>SUM(G21:G25)</f>
      </c>
    </row>
    <row r="27">
      <c r="G27">
        <f>SUM(B22:F22)</f>
      </c>
    </row>
    <row r="28">
      <c r="G28">
        <f>SUM(B23:F23)</f>
      </c>
    </row>
    <row r="29">
      <c r="A29" t="str">
        <v>MATRIKS TFN — Komponen m (Middle)</v>
      </c>
      <c r="G29">
        <f>SUM(B24:F24)</f>
      </c>
    </row>
    <row r="30">
      <c r="A30" t="str">
        <v/>
      </c>
      <c r="B30" t="str">
        <v>PS1</v>
      </c>
      <c r="C30" t="str">
        <v>PS2</v>
      </c>
      <c r="D30" t="str">
        <v>PS3</v>
      </c>
      <c r="E30" t="str">
        <v>PS4</v>
      </c>
      <c r="F30" t="str">
        <v>PS5</v>
      </c>
      <c r="G30" t="str">
        <v>Σ Baris</v>
      </c>
    </row>
    <row r="31">
      <c r="A31" t="str">
        <v>PS1</v>
      </c>
      <c r="B31">
        <v>1</v>
      </c>
      <c r="C31">
        <f>IF('INPUT_CP5'!D5="A",VLOOKUP('INPUT_CP5'!E5,$A$7:$D$15,3,FALSE),1/VLOOKUP('INPUT_CP5'!E5,$A$7:$D$15,3,FALSE))</f>
      </c>
      <c r="D31">
        <f>IF('INPUT_CP5'!D6="A",VLOOKUP('INPUT_CP5'!E6,$A$7:$D$15,3,FALSE),1/VLOOKUP('INPUT_CP5'!E6,$A$7:$D$15,3,FALSE))</f>
      </c>
      <c r="E31">
        <f>IF('INPUT_CP5'!D7="A",VLOOKUP('INPUT_CP5'!E7,$A$7:$D$15,3,FALSE),1/VLOOKUP('INPUT_CP5'!E7,$A$7:$D$15,3,FALSE))</f>
      </c>
      <c r="F31">
        <f>IF('INPUT_CP5'!D8="A",VLOOKUP('INPUT_CP5'!E8,$A$7:$D$15,3,FALSE),1/VLOOKUP('INPUT_CP5'!E8,$A$7:$D$15,3,FALSE))</f>
      </c>
      <c r="G31">
        <f>SUM(B31:F31)</f>
      </c>
    </row>
    <row r="32">
      <c r="A32" t="str">
        <v>PS2</v>
      </c>
      <c r="B32">
        <f>IF('INPUT_CP5'!D5="A",1/VLOOKUP('INPUT_CP5'!E5,$A$7:$D$15,3,FALSE),VLOOKUP('INPUT_CP5'!E5,$A$7:$D$15,3,FALSE))</f>
      </c>
      <c r="C32">
        <v>1</v>
      </c>
      <c r="D32">
        <f>IF('INPUT_CP5'!D9="A",VLOOKUP('INPUT_CP5'!E9,$A$7:$D$15,3,FALSE),1/VLOOKUP('INPUT_CP5'!E9,$A$7:$D$15,3,FALSE))</f>
      </c>
      <c r="E32">
        <f>IF('INPUT_CP5'!D10="A",VLOOKUP('INPUT_CP5'!E10,$A$7:$D$15,3,FALSE),1/VLOOKUP('INPUT_CP5'!E10,$A$7:$D$15,3,FALSE))</f>
      </c>
      <c r="F32">
        <f>IF('INPUT_CP5'!D11="A",VLOOKUP('INPUT_CP5'!E11,$A$7:$D$15,3,FALSE),1/VLOOKUP('INPUT_CP5'!E11,$A$7:$D$15,3,FALSE))</f>
      </c>
      <c r="G32">
        <f>SUM(B32:F32)</f>
      </c>
    </row>
    <row r="33">
      <c r="A33" t="str">
        <v>PS3</v>
      </c>
      <c r="B33">
        <f>IF('INPUT_CP5'!D6="A",1/VLOOKUP('INPUT_CP5'!E6,$A$7:$D$15,3,FALSE),VLOOKUP('INPUT_CP5'!E6,$A$7:$D$15,3,FALSE))</f>
      </c>
      <c r="C33">
        <f>IF('INPUT_CP5'!D9="A",1/VLOOKUP('INPUT_CP5'!E9,$A$7:$D$15,3,FALSE),VLOOKUP('INPUT_CP5'!E9,$A$7:$D$15,3,FALSE))</f>
      </c>
      <c r="D33">
        <v>1</v>
      </c>
      <c r="E33">
        <f>IF('INPUT_CP5'!D12="A",VLOOKUP('INPUT_CP5'!E12,$A$7:$D$15,3,FALSE),1/VLOOKUP('INPUT_CP5'!E12,$A$7:$D$15,3,FALSE))</f>
      </c>
      <c r="F33">
        <f>IF('INPUT_CP5'!D13="A",VLOOKUP('INPUT_CP5'!E13,$A$7:$D$15,3,FALSE),1/VLOOKUP('INPUT_CP5'!E13,$A$7:$D$15,3,FALSE))</f>
      </c>
      <c r="G33">
        <f>SUM(B33:F33)</f>
      </c>
    </row>
    <row r="34">
      <c r="A34" t="str">
        <v>PS4</v>
      </c>
      <c r="B34">
        <f>IF('INPUT_CP5'!D7="A",1/VLOOKUP('INPUT_CP5'!E7,$A$7:$D$15,3,FALSE),VLOOKUP('INPUT_CP5'!E7,$A$7:$D$15,3,FALSE))</f>
      </c>
      <c r="C34">
        <f>IF('INPUT_CP5'!D10="A",1/VLOOKUP('INPUT_CP5'!E10,$A$7:$D$15,3,FALSE),VLOOKUP('INPUT_CP5'!E10,$A$7:$D$15,3,FALSE))</f>
      </c>
      <c r="D34">
        <f>IF('INPUT_CP5'!D12="A",1/VLOOKUP('INPUT_CP5'!E12,$A$7:$D$15,3,FALSE),VLOOKUP('INPUT_CP5'!E12,$A$7:$D$15,3,FALSE))</f>
      </c>
      <c r="E34">
        <v>1</v>
      </c>
      <c r="F34">
        <f>IF('INPUT_CP5'!D14="A",VLOOKUP('INPUT_CP5'!E14,$A$7:$D$15,3,FALSE),1/VLOOKUP('INPUT_CP5'!E14,$A$7:$D$15,3,FALSE))</f>
      </c>
      <c r="G34">
        <f>SUM(B34:F34)</f>
      </c>
    </row>
    <row r="35">
      <c r="A35" t="str">
        <v>PS5</v>
      </c>
      <c r="B35">
        <f>IF('INPUT_CP5'!D8="A",1/VLOOKUP('INPUT_CP5'!E8,$A$7:$D$15,3,FALSE),VLOOKUP('INPUT_CP5'!E8,$A$7:$D$15,3,FALSE))</f>
      </c>
      <c r="C35">
        <f>IF('INPUT_CP5'!D11="A",1/VLOOKUP('INPUT_CP5'!E11,$A$7:$D$15,3,FALSE),VLOOKUP('INPUT_CP5'!E11,$A$7:$D$15,3,FALSE))</f>
      </c>
      <c r="D35">
        <f>IF('INPUT_CP5'!D13="A",1/VLOOKUP('INPUT_CP5'!E13,$A$7:$D$15,3,FALSE),VLOOKUP('INPUT_CP5'!E13,$A$7:$D$15,3,FALSE))</f>
      </c>
      <c r="E35">
        <f>IF('INPUT_CP5'!D14="A",1/VLOOKUP('INPUT_CP5'!E14,$A$7:$D$15,3,FALSE),VLOOKUP('INPUT_CP5'!E14,$A$7:$D$15,3,FALSE))</f>
      </c>
      <c r="F35">
        <v>1</v>
      </c>
      <c r="G35">
        <f>SUM(B35:F35)</f>
      </c>
    </row>
    <row r="36">
      <c r="A36" t="str">
        <v>TOTAL</v>
      </c>
      <c r="G36">
        <f>SUM(G32:G36)</f>
      </c>
    </row>
    <row r="39">
      <c r="A39" t="str">
        <v>MATRIKS TFN — Komponen u (Upper)</v>
      </c>
    </row>
    <row r="40">
      <c r="A40" t="str">
        <v/>
      </c>
      <c r="B40" t="str">
        <v>PS1</v>
      </c>
      <c r="C40" t="str">
        <v>PS2</v>
      </c>
      <c r="D40" t="str">
        <v>PS3</v>
      </c>
      <c r="E40" t="str">
        <v>PS4</v>
      </c>
      <c r="F40" t="str">
        <v>PS5</v>
      </c>
      <c r="G40" t="str">
        <v>Σ Baris</v>
      </c>
    </row>
    <row r="41">
      <c r="A41" t="str">
        <v>PS1</v>
      </c>
      <c r="B41">
        <v>1</v>
      </c>
      <c r="C41">
        <f>IF('INPUT_CP5'!D5="A",VLOOKUP('INPUT_CP5'!E5,$A$7:$D$15,4,FALSE),1/VLOOKUP('INPUT_CP5'!E5,$A$7:$D$15,2,FALSE))</f>
      </c>
      <c r="D41">
        <f>IF('INPUT_CP5'!D6="A",VLOOKUP('INPUT_CP5'!E6,$A$7:$D$15,4,FALSE),1/VLOOKUP('INPUT_CP5'!E6,$A$7:$D$15,2,FALSE))</f>
      </c>
      <c r="E41">
        <f>IF('INPUT_CP5'!D7="A",VLOOKUP('INPUT_CP5'!E7,$A$7:$D$15,4,FALSE),1/VLOOKUP('INPUT_CP5'!E7,$A$7:$D$15,2,FALSE))</f>
      </c>
      <c r="F41">
        <f>IF('INPUT_CP5'!D8="A",VLOOKUP('INPUT_CP5'!E8,$A$7:$D$15,4,FALSE),1/VLOOKUP('INPUT_CP5'!E8,$A$7:$D$15,2,FALSE))</f>
      </c>
      <c r="G41">
        <f>SUM(B41:F41)</f>
      </c>
    </row>
    <row r="42">
      <c r="A42" t="str">
        <v>PS2</v>
      </c>
      <c r="B42">
        <f>IF('INPUT_CP5'!D5="A",1/VLOOKUP('INPUT_CP5'!E5,$A$7:$D$15,2,FALSE),VLOOKUP('INPUT_CP5'!E5,$A$7:$D$15,4,FALSE))</f>
      </c>
      <c r="C42">
        <v>1</v>
      </c>
      <c r="D42">
        <f>IF('INPUT_CP5'!D9="A",VLOOKUP('INPUT_CP5'!E9,$A$7:$D$15,4,FALSE),1/VLOOKUP('INPUT_CP5'!E9,$A$7:$D$15,2,FALSE))</f>
      </c>
      <c r="E42">
        <f>IF('INPUT_CP5'!D10="A",VLOOKUP('INPUT_CP5'!E10,$A$7:$D$15,4,FALSE),1/VLOOKUP('INPUT_CP5'!E10,$A$7:$D$15,2,FALSE))</f>
      </c>
      <c r="F42">
        <f>IF('INPUT_CP5'!D11="A",VLOOKUP('INPUT_CP5'!E11,$A$7:$D$15,4,FALSE),1/VLOOKUP('INPUT_CP5'!E11,$A$7:$D$15,2,FALSE))</f>
      </c>
      <c r="G42">
        <f>SUM(B42:F42)</f>
      </c>
    </row>
    <row r="43">
      <c r="A43" t="str">
        <v>PS3</v>
      </c>
      <c r="B43">
        <f>IF('INPUT_CP5'!D6="A",1/VLOOKUP('INPUT_CP5'!E6,$A$7:$D$15,2,FALSE),VLOOKUP('INPUT_CP5'!E6,$A$7:$D$15,4,FALSE))</f>
      </c>
      <c r="C43">
        <f>IF('INPUT_CP5'!D9="A",1/VLOOKUP('INPUT_CP5'!E9,$A$7:$D$15,2,FALSE),VLOOKUP('INPUT_CP5'!E9,$A$7:$D$15,4,FALSE))</f>
      </c>
      <c r="D43">
        <v>1</v>
      </c>
      <c r="E43">
        <f>IF('INPUT_CP5'!D12="A",VLOOKUP('INPUT_CP5'!E12,$A$7:$D$15,4,FALSE),1/VLOOKUP('INPUT_CP5'!E12,$A$7:$D$15,2,FALSE))</f>
      </c>
      <c r="F43">
        <f>IF('INPUT_CP5'!D13="A",VLOOKUP('INPUT_CP5'!E13,$A$7:$D$15,4,FALSE),1/VLOOKUP('INPUT_CP5'!E13,$A$7:$D$15,2,FALSE))</f>
      </c>
      <c r="G43">
        <f>SUM(B43:F43)</f>
      </c>
    </row>
    <row r="44">
      <c r="A44" t="str">
        <v>PS4</v>
      </c>
      <c r="B44">
        <f>IF('INPUT_CP5'!D7="A",1/VLOOKUP('INPUT_CP5'!E7,$A$7:$D$15,2,FALSE),VLOOKUP('INPUT_CP5'!E7,$A$7:$D$15,4,FALSE))</f>
      </c>
      <c r="C44">
        <f>IF('INPUT_CP5'!D10="A",1/VLOOKUP('INPUT_CP5'!E10,$A$7:$D$15,2,FALSE),VLOOKUP('INPUT_CP5'!E10,$A$7:$D$15,4,FALSE))</f>
      </c>
      <c r="D44">
        <f>IF('INPUT_CP5'!D12="A",1/VLOOKUP('INPUT_CP5'!E12,$A$7:$D$15,2,FALSE),VLOOKUP('INPUT_CP5'!E12,$A$7:$D$15,4,FALSE))</f>
      </c>
      <c r="E44">
        <v>1</v>
      </c>
      <c r="F44">
        <f>IF('INPUT_CP5'!D14="A",VLOOKUP('INPUT_CP5'!E14,$A$7:$D$15,4,FALSE),1/VLOOKUP('INPUT_CP5'!E14,$A$7:$D$15,2,FALSE))</f>
      </c>
      <c r="G44">
        <f>SUM(B44:F44)</f>
      </c>
    </row>
    <row r="45">
      <c r="A45" t="str">
        <v>PS5</v>
      </c>
      <c r="B45">
        <f>IF('INPUT_CP5'!D8="A",1/VLOOKUP('INPUT_CP5'!E8,$A$7:$D$15,2,FALSE),VLOOKUP('INPUT_CP5'!E8,$A$7:$D$15,4,FALSE))</f>
      </c>
      <c r="C45">
        <f>IF('INPUT_CP5'!D11="A",1/VLOOKUP('INPUT_CP5'!E11,$A$7:$D$15,2,FALSE),VLOOKUP('INPUT_CP5'!E11,$A$7:$D$15,4,FALSE))</f>
      </c>
      <c r="D45">
        <f>IF('INPUT_CP5'!D13="A",1/VLOOKUP('INPUT_CP5'!E13,$A$7:$D$15,2,FALSE),VLOOKUP('INPUT_CP5'!E13,$A$7:$D$15,4,FALSE))</f>
      </c>
      <c r="E45">
        <f>IF('INPUT_CP5'!D14="A",1/VLOOKUP('INPUT_CP5'!E14,$A$7:$D$15,2,FALSE),VLOOKUP('INPUT_CP5'!E14,$A$7:$D$15,4,FALSE))</f>
      </c>
      <c r="F45">
        <v>1</v>
      </c>
      <c r="G45">
        <f>SUM(B45:F45)</f>
      </c>
    </row>
    <row r="46">
      <c r="A46" t="str">
        <v>TOTAL</v>
      </c>
      <c r="G46">
        <f>SUM(G42:G46)</f>
      </c>
    </row>
  </sheetData>
  <ignoredErrors>
    <ignoredError numberStoredAsText="1" sqref="A1:I4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CP5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PS1</v>
      </c>
      <c r="B7">
        <f>'FUZZY_CP5'!G21</f>
      </c>
      <c r="C7">
        <f>'FUZZY_CP5'!G32</f>
      </c>
      <c r="D7">
        <f>'FUZZY_CP5'!G42</f>
      </c>
      <c r="E7">
        <f>'FUZZY_CP5'!G26</f>
      </c>
      <c r="F7">
        <f>'FUZZY_CP5'!G36</f>
      </c>
      <c r="G7">
        <f>'FUZZY_CP5'!G46</f>
      </c>
      <c r="H7">
        <f>B7*(1/G7)</f>
      </c>
      <c r="I7">
        <f>C7*(1/F7)</f>
      </c>
      <c r="J7">
        <f>D7*(1/E7)</f>
      </c>
    </row>
    <row r="8">
      <c r="A8" t="str">
        <v>PS2</v>
      </c>
      <c r="B8">
        <f>'FUZZY_CP5'!G22</f>
      </c>
      <c r="C8">
        <f>'FUZZY_CP5'!G33</f>
      </c>
      <c r="D8">
        <f>'FUZZY_CP5'!G43</f>
      </c>
      <c r="E8">
        <f>'FUZZY_CP5'!G26</f>
      </c>
      <c r="F8">
        <f>'FUZZY_CP5'!G36</f>
      </c>
      <c r="G8">
        <f>'FUZZY_CP5'!G46</f>
      </c>
      <c r="H8">
        <f>B8*(1/G8)</f>
      </c>
      <c r="I8">
        <f>C8*(1/F8)</f>
      </c>
      <c r="J8">
        <f>D8*(1/E8)</f>
      </c>
    </row>
    <row r="9">
      <c r="A9" t="str">
        <v>PS3</v>
      </c>
      <c r="B9">
        <f>'FUZZY_CP5'!G23</f>
      </c>
      <c r="C9">
        <f>'FUZZY_CP5'!G34</f>
      </c>
      <c r="D9">
        <f>'FUZZY_CP5'!G44</f>
      </c>
      <c r="E9">
        <f>'FUZZY_CP5'!G26</f>
      </c>
      <c r="F9">
        <f>'FUZZY_CP5'!G36</f>
      </c>
      <c r="G9">
        <f>'FUZZY_CP5'!G46</f>
      </c>
      <c r="H9">
        <f>B9*(1/G9)</f>
      </c>
      <c r="I9">
        <f>C9*(1/F9)</f>
      </c>
      <c r="J9">
        <f>D9*(1/E9)</f>
      </c>
    </row>
    <row r="10">
      <c r="A10" t="str">
        <v>PS4</v>
      </c>
      <c r="B10">
        <f>'FUZZY_CP5'!G24</f>
      </c>
      <c r="C10">
        <f>'FUZZY_CP5'!G35</f>
      </c>
      <c r="D10">
        <f>'FUZZY_CP5'!G45</f>
      </c>
      <c r="E10">
        <f>'FUZZY_CP5'!G26</f>
      </c>
      <c r="F10">
        <f>'FUZZY_CP5'!G36</f>
      </c>
      <c r="G10">
        <f>'FUZZY_CP5'!G46</f>
      </c>
      <c r="H10">
        <f>B10*(1/G10)</f>
      </c>
      <c r="I10">
        <f>C10*(1/F10)</f>
      </c>
      <c r="J10">
        <f>D10*(1/E10)</f>
      </c>
    </row>
    <row r="11">
      <c r="A11" t="str">
        <v>PS5</v>
      </c>
      <c r="B11">
        <f>'FUZZY_CP5'!G25</f>
      </c>
      <c r="C11">
        <f>'FUZZY_CP5'!G36</f>
      </c>
      <c r="D11">
        <f>'FUZZY_CP5'!G46</f>
      </c>
      <c r="E11">
        <f>'FUZZY_CP5'!G26</f>
      </c>
      <c r="F11">
        <f>'FUZZY_CP5'!G36</f>
      </c>
      <c r="G11">
        <f>'FUZZY_CP5'!G46</f>
      </c>
      <c r="H11">
        <f>B11*(1/G11)</f>
      </c>
      <c r="I11">
        <f>C11*(1/F11)</f>
      </c>
      <c r="J11">
        <f>D11*(1/E11)</f>
      </c>
    </row>
    <row r="14">
      <c r="A14" t="str">
        <v>LANGKAH 2: Defuzzifikasi (Center of Area) + Normalisasi</v>
      </c>
    </row>
    <row r="15">
      <c r="A15" t="str">
        <v>Kriteria</v>
      </c>
      <c r="B15" t="str">
        <v>Si_l</v>
      </c>
      <c r="C15" t="str">
        <v>Si_m</v>
      </c>
      <c r="D15" t="str">
        <v>Si_u</v>
      </c>
      <c r="E15" t="str">
        <v>Defuzzy = (l+m+u)/3</v>
      </c>
      <c r="F15" t="str">
        <v>Bobot Normal</v>
      </c>
      <c r="G15" t="str">
        <v>Bobot %</v>
      </c>
      <c r="H15" t="str">
        <v>Ranking</v>
      </c>
    </row>
    <row r="16">
      <c r="A16" t="str">
        <v>PS1</v>
      </c>
      <c r="B16">
        <f>H7</f>
      </c>
      <c r="C16">
        <f>I7</f>
      </c>
      <c r="D16">
        <f>J7</f>
      </c>
      <c r="E16">
        <f>(B16+C16+D16)/3</f>
      </c>
      <c r="F16">
        <f>E16/E21</f>
      </c>
      <c r="G16">
        <f>F16*100</f>
      </c>
      <c r="H16">
        <f>RANK(F16,F$16:F$20,0)</f>
      </c>
    </row>
    <row r="17">
      <c r="A17" t="str">
        <v>PS2</v>
      </c>
      <c r="B17">
        <f>H8</f>
      </c>
      <c r="C17">
        <f>I8</f>
      </c>
      <c r="D17">
        <f>J8</f>
      </c>
      <c r="E17">
        <f>(B17+C17+D17)/3</f>
      </c>
      <c r="F17">
        <f>E17/E21</f>
      </c>
      <c r="G17">
        <f>F17*100</f>
      </c>
      <c r="H17">
        <f>RANK(F17,F$16:F$20,0)</f>
      </c>
    </row>
    <row r="18">
      <c r="A18" t="str">
        <v>PS3</v>
      </c>
      <c r="B18">
        <f>H9</f>
      </c>
      <c r="C18">
        <f>I9</f>
      </c>
      <c r="D18">
        <f>J9</f>
      </c>
      <c r="E18">
        <f>(B18+C18+D18)/3</f>
      </c>
      <c r="F18">
        <f>E18/E21</f>
      </c>
      <c r="G18">
        <f>F18*100</f>
      </c>
      <c r="H18">
        <f>RANK(F18,F$16:F$20,0)</f>
      </c>
    </row>
    <row r="19">
      <c r="A19" t="str">
        <v>PS4</v>
      </c>
      <c r="B19">
        <f>H10</f>
      </c>
      <c r="C19">
        <f>I10</f>
      </c>
      <c r="D19">
        <f>J10</f>
      </c>
      <c r="E19">
        <f>(B19+C19+D19)/3</f>
      </c>
      <c r="F19">
        <f>E19/E21</f>
      </c>
      <c r="G19">
        <f>F19*100</f>
      </c>
      <c r="H19">
        <f>RANK(F19,F$16:F$20,0)</f>
      </c>
    </row>
    <row r="20">
      <c r="A20" t="str">
        <v>PS5</v>
      </c>
      <c r="B20">
        <f>H11</f>
      </c>
      <c r="C20">
        <f>I11</f>
      </c>
      <c r="D20">
        <f>J11</f>
      </c>
      <c r="E20">
        <f>(B20+C20+D20)/3</f>
      </c>
      <c r="F20">
        <f>E20/E21</f>
      </c>
      <c r="G20">
        <f>F20*100</f>
      </c>
      <c r="H20">
        <f>RANK(F20,F$16:F$20,0)</f>
      </c>
    </row>
    <row r="21">
      <c r="D21" t="str">
        <v>TOTAL</v>
      </c>
      <c r="E21">
        <f>SUM(E16:E20)</f>
      </c>
    </row>
  </sheetData>
  <ignoredErrors>
    <ignoredError numberStoredAsText="1" sqref="A1:K24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CP6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P1</v>
      </c>
      <c r="C5" t="str">
        <v>P2</v>
      </c>
      <c r="D5" t="str">
        <v>A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P1</v>
      </c>
      <c r="C6" t="str">
        <v>P3</v>
      </c>
      <c r="D6" t="str">
        <v>A</v>
      </c>
      <c r="E6">
        <v>1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P1</v>
      </c>
      <c r="C7" t="str">
        <v>P4</v>
      </c>
      <c r="D7" t="str">
        <v>A</v>
      </c>
      <c r="E7">
        <v>2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P1</v>
      </c>
      <c r="C8" t="str">
        <v>P5</v>
      </c>
      <c r="D8" t="str">
        <v>A</v>
      </c>
      <c r="E8">
        <v>2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P1</v>
      </c>
      <c r="C9" t="str">
        <v>P6</v>
      </c>
      <c r="D9" t="str">
        <v>A</v>
      </c>
      <c r="E9">
        <v>3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P1</v>
      </c>
      <c r="C10" t="str">
        <v>P7</v>
      </c>
      <c r="D10" t="str">
        <v>A</v>
      </c>
      <c r="E10">
        <v>4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P2</v>
      </c>
      <c r="C11" t="str">
        <v>P3</v>
      </c>
      <c r="D11" t="str">
        <v>A</v>
      </c>
      <c r="E11">
        <v>1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P2</v>
      </c>
      <c r="C12" t="str">
        <v>P4</v>
      </c>
      <c r="D12" t="str">
        <v>A</v>
      </c>
      <c r="E12">
        <v>1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P2</v>
      </c>
      <c r="C13" t="str">
        <v>P5</v>
      </c>
      <c r="D13" t="str">
        <v>A</v>
      </c>
      <c r="E13">
        <v>2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P2</v>
      </c>
      <c r="C14" t="str">
        <v>P6</v>
      </c>
      <c r="D14" t="str">
        <v>A</v>
      </c>
      <c r="E14">
        <v>2</v>
      </c>
      <c r="F14">
        <f>IF(E14=1,"Sama Penting",IF(E14=3,"Sedikit Lebih Penting",IF(E14=5,"Lebih Penting",IF(E14=7,"Sangat Lebih Penting",IF(E14=9,"Mutlak Lebih Penting","Nilai Antara")))))</f>
      </c>
    </row>
    <row r="15">
      <c r="A15">
        <v>11</v>
      </c>
      <c r="B15" t="str">
        <v>P2</v>
      </c>
      <c r="C15" t="str">
        <v>P7</v>
      </c>
      <c r="D15" t="str">
        <v>A</v>
      </c>
      <c r="E15">
        <v>3</v>
      </c>
      <c r="F15">
        <f>IF(E15=1,"Sama Penting",IF(E15=3,"Sedikit Lebih Penting",IF(E15=5,"Lebih Penting",IF(E15=7,"Sangat Lebih Penting",IF(E15=9,"Mutlak Lebih Penting","Nilai Antara")))))</f>
      </c>
    </row>
    <row r="16">
      <c r="A16">
        <v>12</v>
      </c>
      <c r="B16" t="str">
        <v>P3</v>
      </c>
      <c r="C16" t="str">
        <v>P4</v>
      </c>
      <c r="D16" t="str">
        <v>A</v>
      </c>
      <c r="E16">
        <v>1</v>
      </c>
      <c r="F16">
        <f>IF(E16=1,"Sama Penting",IF(E16=3,"Sedikit Lebih Penting",IF(E16=5,"Lebih Penting",IF(E16=7,"Sangat Lebih Penting",IF(E16=9,"Mutlak Lebih Penting","Nilai Antara")))))</f>
      </c>
    </row>
    <row r="17">
      <c r="A17">
        <v>13</v>
      </c>
      <c r="B17" t="str">
        <v>P3</v>
      </c>
      <c r="C17" t="str">
        <v>P5</v>
      </c>
      <c r="D17" t="str">
        <v>A</v>
      </c>
      <c r="E17">
        <v>2</v>
      </c>
      <c r="F17">
        <f>IF(E17=1,"Sama Penting",IF(E17=3,"Sedikit Lebih Penting",IF(E17=5,"Lebih Penting",IF(E17=7,"Sangat Lebih Penting",IF(E17=9,"Mutlak Lebih Penting","Nilai Antara")))))</f>
      </c>
    </row>
    <row r="18">
      <c r="A18">
        <v>14</v>
      </c>
      <c r="B18" t="str">
        <v>P3</v>
      </c>
      <c r="C18" t="str">
        <v>P6</v>
      </c>
      <c r="D18" t="str">
        <v>A</v>
      </c>
      <c r="E18">
        <v>2</v>
      </c>
      <c r="F18">
        <f>IF(E18=1,"Sama Penting",IF(E18=3,"Sedikit Lebih Penting",IF(E18=5,"Lebih Penting",IF(E18=7,"Sangat Lebih Penting",IF(E18=9,"Mutlak Lebih Penting","Nilai Antara")))))</f>
      </c>
    </row>
    <row r="19">
      <c r="A19">
        <v>15</v>
      </c>
      <c r="B19" t="str">
        <v>P3</v>
      </c>
      <c r="C19" t="str">
        <v>P7</v>
      </c>
      <c r="D19" t="str">
        <v>A</v>
      </c>
      <c r="E19">
        <v>2</v>
      </c>
      <c r="F19">
        <f>IF(E19=1,"Sama Penting",IF(E19=3,"Sedikit Lebih Penting",IF(E19=5,"Lebih Penting",IF(E19=7,"Sangat Lebih Penting",IF(E19=9,"Mutlak Lebih Penting","Nilai Antara")))))</f>
      </c>
    </row>
    <row r="20">
      <c r="A20">
        <v>16</v>
      </c>
      <c r="B20" t="str">
        <v>P4</v>
      </c>
      <c r="C20" t="str">
        <v>P5</v>
      </c>
      <c r="D20" t="str">
        <v>A</v>
      </c>
      <c r="E20">
        <v>1</v>
      </c>
      <c r="F20">
        <f>IF(E20=1,"Sama Penting",IF(E20=3,"Sedikit Lebih Penting",IF(E20=5,"Lebih Penting",IF(E20=7,"Sangat Lebih Penting",IF(E20=9,"Mutlak Lebih Penting","Nilai Antara")))))</f>
      </c>
    </row>
    <row r="21">
      <c r="A21">
        <v>17</v>
      </c>
      <c r="B21" t="str">
        <v>P4</v>
      </c>
      <c r="C21" t="str">
        <v>P6</v>
      </c>
      <c r="D21" t="str">
        <v>A</v>
      </c>
      <c r="E21">
        <v>2</v>
      </c>
      <c r="F21">
        <f>IF(E21=1,"Sama Penting",IF(E21=3,"Sedikit Lebih Penting",IF(E21=5,"Lebih Penting",IF(E21=7,"Sangat Lebih Penting",IF(E21=9,"Mutlak Lebih Penting","Nilai Antara")))))</f>
      </c>
    </row>
    <row r="22">
      <c r="A22">
        <v>18</v>
      </c>
      <c r="B22" t="str">
        <v>P4</v>
      </c>
      <c r="C22" t="str">
        <v>P7</v>
      </c>
      <c r="D22" t="str">
        <v>A</v>
      </c>
      <c r="E22">
        <v>2</v>
      </c>
      <c r="F22">
        <f>IF(E22=1,"Sama Penting",IF(E22=3,"Sedikit Lebih Penting",IF(E22=5,"Lebih Penting",IF(E22=7,"Sangat Lebih Penting",IF(E22=9,"Mutlak Lebih Penting","Nilai Antara")))))</f>
      </c>
    </row>
    <row r="23">
      <c r="A23">
        <v>19</v>
      </c>
      <c r="B23" t="str">
        <v>P5</v>
      </c>
      <c r="C23" t="str">
        <v>P6</v>
      </c>
      <c r="D23" t="str">
        <v>A</v>
      </c>
      <c r="E23">
        <v>1</v>
      </c>
      <c r="F23">
        <f>IF(E23=1,"Sama Penting",IF(E23=3,"Sedikit Lebih Penting",IF(E23=5,"Lebih Penting",IF(E23=7,"Sangat Lebih Penting",IF(E23=9,"Mutlak Lebih Penting","Nilai Antara")))))</f>
      </c>
    </row>
    <row r="24">
      <c r="A24">
        <v>20</v>
      </c>
      <c r="B24" t="str">
        <v>P5</v>
      </c>
      <c r="C24" t="str">
        <v>P7</v>
      </c>
      <c r="D24" t="str">
        <v>A</v>
      </c>
      <c r="E24">
        <v>1</v>
      </c>
      <c r="F24">
        <f>IF(E24=1,"Sama Penting",IF(E24=3,"Sedikit Lebih Penting",IF(E24=5,"Lebih Penting",IF(E24=7,"Sangat Lebih Penting",IF(E24=9,"Mutlak Lebih Penting","Nilai Antara")))))</f>
      </c>
    </row>
    <row r="25">
      <c r="A25">
        <v>21</v>
      </c>
      <c r="B25" t="str">
        <v>P6</v>
      </c>
      <c r="C25" t="str">
        <v>P7</v>
      </c>
      <c r="D25" t="str">
        <v>A</v>
      </c>
      <c r="E25">
        <v>1</v>
      </c>
      <c r="F25">
        <f>IF(E25=1,"Sama Penting",IF(E25=3,"Sedikit Lebih Penting",IF(E25=5,"Lebih Penting",IF(E25=7,"Sangat Lebih Penting",IF(E25=9,"Mutlak Lebih Penting","Nilai Antara")))))</f>
      </c>
    </row>
    <row r="28">
      <c r="A28" t="str">
        <v>Tabel Random Index (RI) — Saaty</v>
      </c>
    </row>
    <row r="29">
      <c r="A29" t="str">
        <v>n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</row>
    <row r="30">
      <c r="A30" t="str">
        <v>RI</v>
      </c>
      <c r="B30">
        <v>0</v>
      </c>
      <c r="C30">
        <v>0</v>
      </c>
      <c r="D30">
        <v>0.58</v>
      </c>
      <c r="E30">
        <v>0.9</v>
      </c>
      <c r="F30">
        <v>1.12</v>
      </c>
      <c r="G30">
        <v>1.24</v>
      </c>
      <c r="H30">
        <v>1.32</v>
      </c>
      <c r="I30">
        <v>1.41</v>
      </c>
      <c r="J30">
        <v>1.45</v>
      </c>
      <c r="K30">
        <v>1.49</v>
      </c>
    </row>
    <row r="32">
      <c r="A32" t="str">
        <v>Skala Saaty → TFN (Triangular Fuzzy Number)</v>
      </c>
    </row>
    <row r="33">
      <c r="A33" t="str">
        <v>Skala</v>
      </c>
      <c r="B33" t="str">
        <v>l</v>
      </c>
      <c r="C33" t="str">
        <v>m</v>
      </c>
      <c r="D33" t="str">
        <v>u</v>
      </c>
    </row>
    <row r="34">
      <c r="A34">
        <v>1</v>
      </c>
      <c r="B34">
        <v>1</v>
      </c>
      <c r="C34">
        <v>1</v>
      </c>
      <c r="D34">
        <v>1</v>
      </c>
    </row>
    <row r="35">
      <c r="A35">
        <v>2</v>
      </c>
      <c r="B35">
        <v>1</v>
      </c>
      <c r="C35">
        <v>2</v>
      </c>
      <c r="D35">
        <v>3</v>
      </c>
    </row>
    <row r="36">
      <c r="A36">
        <v>3</v>
      </c>
      <c r="B36">
        <v>1</v>
      </c>
      <c r="C36">
        <v>3</v>
      </c>
      <c r="D36">
        <v>5</v>
      </c>
    </row>
    <row r="37">
      <c r="A37">
        <v>4</v>
      </c>
      <c r="B37">
        <v>3</v>
      </c>
      <c r="C37">
        <v>4</v>
      </c>
      <c r="D37">
        <v>5</v>
      </c>
    </row>
    <row r="38">
      <c r="A38">
        <v>5</v>
      </c>
      <c r="B38">
        <v>3</v>
      </c>
      <c r="C38">
        <v>5</v>
      </c>
      <c r="D38">
        <v>7</v>
      </c>
    </row>
    <row r="39">
      <c r="A39">
        <v>6</v>
      </c>
      <c r="B39">
        <v>5</v>
      </c>
      <c r="C39">
        <v>6</v>
      </c>
      <c r="D39">
        <v>7</v>
      </c>
    </row>
    <row r="40">
      <c r="A40">
        <v>7</v>
      </c>
      <c r="B40">
        <v>5</v>
      </c>
      <c r="C40">
        <v>7</v>
      </c>
      <c r="D40">
        <v>9</v>
      </c>
    </row>
    <row r="41">
      <c r="A41">
        <v>8</v>
      </c>
      <c r="B41">
        <v>7</v>
      </c>
      <c r="C41">
        <v>8</v>
      </c>
      <c r="D41">
        <v>9</v>
      </c>
    </row>
    <row r="42">
      <c r="A42">
        <v>9</v>
      </c>
      <c r="B42">
        <v>7</v>
      </c>
      <c r="C42">
        <v>9</v>
      </c>
      <c r="D42">
        <v>9</v>
      </c>
    </row>
  </sheetData>
  <ignoredErrors>
    <ignoredError numberStoredAsText="1" sqref="A1:K44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MATRIKS PERBANDINGAN BERPASANGAN — Level 2 — Sub-Kriteria CP6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P1</v>
      </c>
      <c r="C5" t="str">
        <v>P2</v>
      </c>
      <c r="D5" t="str">
        <v>P3</v>
      </c>
      <c r="E5" t="str">
        <v>P4</v>
      </c>
      <c r="F5" t="str">
        <v>P5</v>
      </c>
      <c r="G5" t="str">
        <v>P6</v>
      </c>
      <c r="H5" t="str">
        <v>P7</v>
      </c>
    </row>
    <row r="6">
      <c r="A6" t="str">
        <v>P1</v>
      </c>
      <c r="B6">
        <v>1</v>
      </c>
      <c r="C6">
        <f>IF('INPUT_CP6'!D5="A",'INPUT_CP6'!E5,1/'INPUT_CP6'!E5)</f>
      </c>
      <c r="D6">
        <f>IF('INPUT_CP6'!D6="A",'INPUT_CP6'!E6,1/'INPUT_CP6'!E6)</f>
      </c>
      <c r="E6">
        <f>IF('INPUT_CP6'!D7="A",'INPUT_CP6'!E7,1/'INPUT_CP6'!E7)</f>
      </c>
      <c r="F6">
        <f>IF('INPUT_CP6'!D8="A",'INPUT_CP6'!E8,1/'INPUT_CP6'!E8)</f>
      </c>
      <c r="G6">
        <f>IF('INPUT_CP6'!D9="A",'INPUT_CP6'!E9,1/'INPUT_CP6'!E9)</f>
      </c>
      <c r="H6">
        <f>IF('INPUT_CP6'!D10="A",'INPUT_CP6'!E10,1/'INPUT_CP6'!E10)</f>
      </c>
    </row>
    <row r="7">
      <c r="A7" t="str">
        <v>P2</v>
      </c>
      <c r="B7">
        <f>1/C6</f>
      </c>
      <c r="C7">
        <v>1</v>
      </c>
      <c r="D7">
        <f>IF('INPUT_CP6'!D11="A",'INPUT_CP6'!E11,1/'INPUT_CP6'!E11)</f>
      </c>
      <c r="E7">
        <f>IF('INPUT_CP6'!D12="A",'INPUT_CP6'!E12,1/'INPUT_CP6'!E12)</f>
      </c>
      <c r="F7">
        <f>IF('INPUT_CP6'!D13="A",'INPUT_CP6'!E13,1/'INPUT_CP6'!E13)</f>
      </c>
      <c r="G7">
        <f>IF('INPUT_CP6'!D14="A",'INPUT_CP6'!E14,1/'INPUT_CP6'!E14)</f>
      </c>
      <c r="H7">
        <f>IF('INPUT_CP6'!D15="A",'INPUT_CP6'!E15,1/'INPUT_CP6'!E15)</f>
      </c>
    </row>
    <row r="8">
      <c r="A8" t="str">
        <v>P3</v>
      </c>
      <c r="B8">
        <f>1/D6</f>
      </c>
      <c r="C8">
        <f>1/D7</f>
      </c>
      <c r="D8">
        <v>1</v>
      </c>
      <c r="E8">
        <f>IF('INPUT_CP6'!D16="A",'INPUT_CP6'!E16,1/'INPUT_CP6'!E16)</f>
      </c>
      <c r="F8">
        <f>IF('INPUT_CP6'!D17="A",'INPUT_CP6'!E17,1/'INPUT_CP6'!E17)</f>
      </c>
      <c r="G8">
        <f>IF('INPUT_CP6'!D18="A",'INPUT_CP6'!E18,1/'INPUT_CP6'!E18)</f>
      </c>
      <c r="H8">
        <f>IF('INPUT_CP6'!D19="A",'INPUT_CP6'!E19,1/'INPUT_CP6'!E19)</f>
      </c>
    </row>
    <row r="9">
      <c r="A9" t="str">
        <v>P4</v>
      </c>
      <c r="B9">
        <f>1/E6</f>
      </c>
      <c r="C9">
        <f>1/E7</f>
      </c>
      <c r="D9">
        <f>1/E8</f>
      </c>
      <c r="E9">
        <v>1</v>
      </c>
      <c r="F9">
        <f>IF('INPUT_CP6'!D20="A",'INPUT_CP6'!E20,1/'INPUT_CP6'!E20)</f>
      </c>
      <c r="G9">
        <f>IF('INPUT_CP6'!D21="A",'INPUT_CP6'!E21,1/'INPUT_CP6'!E21)</f>
      </c>
      <c r="H9">
        <f>IF('INPUT_CP6'!D22="A",'INPUT_CP6'!E22,1/'INPUT_CP6'!E22)</f>
      </c>
    </row>
    <row r="10">
      <c r="A10" t="str">
        <v>P5</v>
      </c>
      <c r="B10">
        <f>1/F6</f>
      </c>
      <c r="C10">
        <f>1/F7</f>
      </c>
      <c r="D10">
        <f>1/F8</f>
      </c>
      <c r="E10">
        <f>1/F9</f>
      </c>
      <c r="F10">
        <v>1</v>
      </c>
      <c r="G10">
        <f>IF('INPUT_CP6'!D23="A",'INPUT_CP6'!E23,1/'INPUT_CP6'!E23)</f>
      </c>
      <c r="H10">
        <f>IF('INPUT_CP6'!D24="A",'INPUT_CP6'!E24,1/'INPUT_CP6'!E24)</f>
      </c>
    </row>
    <row r="11">
      <c r="A11" t="str">
        <v>P6</v>
      </c>
      <c r="B11">
        <f>1/G6</f>
      </c>
      <c r="C11">
        <f>1/G7</f>
      </c>
      <c r="D11">
        <f>1/G8</f>
      </c>
      <c r="E11">
        <f>1/G9</f>
      </c>
      <c r="F11">
        <f>1/G10</f>
      </c>
      <c r="G11">
        <v>1</v>
      </c>
      <c r="H11">
        <f>IF('INPUT_CP6'!D25="A",'INPUT_CP6'!E25,1/'INPUT_CP6'!E25)</f>
      </c>
    </row>
    <row r="12">
      <c r="A12" t="str">
        <v>P7</v>
      </c>
      <c r="B12">
        <f>1/H6</f>
      </c>
      <c r="C12">
        <f>1/H7</f>
      </c>
      <c r="D12">
        <f>1/H8</f>
      </c>
      <c r="E12">
        <f>1/H9</f>
      </c>
      <c r="F12">
        <f>1/H10</f>
      </c>
      <c r="G12">
        <f>1/H11</f>
      </c>
      <c r="H12">
        <v>1</v>
      </c>
    </row>
    <row r="14">
      <c r="A14" t="str">
        <v>Jumlah Kolom</v>
      </c>
      <c r="B14">
        <f>SUM(B7:B13)</f>
      </c>
      <c r="C14">
        <f>SUM(C7:C13)</f>
      </c>
      <c r="D14">
        <f>SUM(D7:D13)</f>
      </c>
      <c r="E14">
        <f>SUM(E7:E13)</f>
      </c>
      <c r="F14">
        <f>SUM(F7:F13)</f>
      </c>
      <c r="G14">
        <f>SUM(G7:G13)</f>
      </c>
      <c r="H14">
        <f>SUM(H7:H13)</f>
      </c>
    </row>
  </sheetData>
  <ignoredErrors>
    <ignoredError numberStoredAsText="1" sqref="A1:I16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</cols>
  <sheetData>
    <row r="1">
      <c r="A1" t="str">
        <v>NORMALISASI &amp; BOBOT PRIORITAS — Level 2 — Sub-Kriteria CP6</v>
      </c>
    </row>
    <row r="2">
      <c r="A2" t="str">
        <v>Normalisasi kolom: setiap sel dibagi jumlah kolomnya</v>
      </c>
    </row>
    <row r="4">
      <c r="A4" t="str">
        <v/>
      </c>
      <c r="B4" t="str">
        <v>P1</v>
      </c>
      <c r="C4" t="str">
        <v>P2</v>
      </c>
      <c r="D4" t="str">
        <v>P3</v>
      </c>
      <c r="E4" t="str">
        <v>P4</v>
      </c>
      <c r="F4" t="str">
        <v>P5</v>
      </c>
      <c r="G4" t="str">
        <v>P6</v>
      </c>
      <c r="H4" t="str">
        <v>P7</v>
      </c>
      <c r="I4" t="str">
        <v>Rata-rata (Bobot)</v>
      </c>
    </row>
    <row r="5">
      <c r="A5" t="str">
        <v>P1</v>
      </c>
      <c r="B5">
        <f>'MATRIKS_CP6'!B6/'MATRIKS_CP6'!B14</f>
      </c>
      <c r="C5">
        <f>'MATRIKS_CP6'!C6/'MATRIKS_CP6'!C14</f>
      </c>
      <c r="D5">
        <f>'MATRIKS_CP6'!D6/'MATRIKS_CP6'!D14</f>
      </c>
      <c r="E5">
        <f>'MATRIKS_CP6'!E6/'MATRIKS_CP6'!E14</f>
      </c>
      <c r="F5">
        <f>'MATRIKS_CP6'!F6/'MATRIKS_CP6'!F14</f>
      </c>
      <c r="G5">
        <f>'MATRIKS_CP6'!G6/'MATRIKS_CP6'!G14</f>
      </c>
      <c r="H5">
        <f>'MATRIKS_CP6'!H6/'MATRIKS_CP6'!H14</f>
      </c>
      <c r="I5">
        <f>AVERAGE(B5:H5)</f>
      </c>
    </row>
    <row r="6">
      <c r="A6" t="str">
        <v>P2</v>
      </c>
      <c r="B6">
        <f>'MATRIKS_CP6'!B7/'MATRIKS_CP6'!B14</f>
      </c>
      <c r="C6">
        <f>'MATRIKS_CP6'!C7/'MATRIKS_CP6'!C14</f>
      </c>
      <c r="D6">
        <f>'MATRIKS_CP6'!D7/'MATRIKS_CP6'!D14</f>
      </c>
      <c r="E6">
        <f>'MATRIKS_CP6'!E7/'MATRIKS_CP6'!E14</f>
      </c>
      <c r="F6">
        <f>'MATRIKS_CP6'!F7/'MATRIKS_CP6'!F14</f>
      </c>
      <c r="G6">
        <f>'MATRIKS_CP6'!G7/'MATRIKS_CP6'!G14</f>
      </c>
      <c r="H6">
        <f>'MATRIKS_CP6'!H7/'MATRIKS_CP6'!H14</f>
      </c>
      <c r="I6">
        <f>AVERAGE(B6:H6)</f>
      </c>
    </row>
    <row r="7">
      <c r="A7" t="str">
        <v>P3</v>
      </c>
      <c r="B7">
        <f>'MATRIKS_CP6'!B8/'MATRIKS_CP6'!B14</f>
      </c>
      <c r="C7">
        <f>'MATRIKS_CP6'!C8/'MATRIKS_CP6'!C14</f>
      </c>
      <c r="D7">
        <f>'MATRIKS_CP6'!D8/'MATRIKS_CP6'!D14</f>
      </c>
      <c r="E7">
        <f>'MATRIKS_CP6'!E8/'MATRIKS_CP6'!E14</f>
      </c>
      <c r="F7">
        <f>'MATRIKS_CP6'!F8/'MATRIKS_CP6'!F14</f>
      </c>
      <c r="G7">
        <f>'MATRIKS_CP6'!G8/'MATRIKS_CP6'!G14</f>
      </c>
      <c r="H7">
        <f>'MATRIKS_CP6'!H8/'MATRIKS_CP6'!H14</f>
      </c>
      <c r="I7">
        <f>AVERAGE(B7:H7)</f>
      </c>
    </row>
    <row r="8">
      <c r="A8" t="str">
        <v>P4</v>
      </c>
      <c r="B8">
        <f>'MATRIKS_CP6'!B9/'MATRIKS_CP6'!B14</f>
      </c>
      <c r="C8">
        <f>'MATRIKS_CP6'!C9/'MATRIKS_CP6'!C14</f>
      </c>
      <c r="D8">
        <f>'MATRIKS_CP6'!D9/'MATRIKS_CP6'!D14</f>
      </c>
      <c r="E8">
        <f>'MATRIKS_CP6'!E9/'MATRIKS_CP6'!E14</f>
      </c>
      <c r="F8">
        <f>'MATRIKS_CP6'!F9/'MATRIKS_CP6'!F14</f>
      </c>
      <c r="G8">
        <f>'MATRIKS_CP6'!G9/'MATRIKS_CP6'!G14</f>
      </c>
      <c r="H8">
        <f>'MATRIKS_CP6'!H9/'MATRIKS_CP6'!H14</f>
      </c>
      <c r="I8">
        <f>AVERAGE(B8:H8)</f>
      </c>
    </row>
    <row r="9">
      <c r="A9" t="str">
        <v>P5</v>
      </c>
      <c r="B9">
        <f>'MATRIKS_CP6'!B10/'MATRIKS_CP6'!B14</f>
      </c>
      <c r="C9">
        <f>'MATRIKS_CP6'!C10/'MATRIKS_CP6'!C14</f>
      </c>
      <c r="D9">
        <f>'MATRIKS_CP6'!D10/'MATRIKS_CP6'!D14</f>
      </c>
      <c r="E9">
        <f>'MATRIKS_CP6'!E10/'MATRIKS_CP6'!E14</f>
      </c>
      <c r="F9">
        <f>'MATRIKS_CP6'!F10/'MATRIKS_CP6'!F14</f>
      </c>
      <c r="G9">
        <f>'MATRIKS_CP6'!G10/'MATRIKS_CP6'!G14</f>
      </c>
      <c r="H9">
        <f>'MATRIKS_CP6'!H10/'MATRIKS_CP6'!H14</f>
      </c>
      <c r="I9">
        <f>AVERAGE(B9:H9)</f>
      </c>
    </row>
    <row r="10">
      <c r="A10" t="str">
        <v>P6</v>
      </c>
      <c r="B10">
        <f>'MATRIKS_CP6'!B11/'MATRIKS_CP6'!B14</f>
      </c>
      <c r="C10">
        <f>'MATRIKS_CP6'!C11/'MATRIKS_CP6'!C14</f>
      </c>
      <c r="D10">
        <f>'MATRIKS_CP6'!D11/'MATRIKS_CP6'!D14</f>
      </c>
      <c r="E10">
        <f>'MATRIKS_CP6'!E11/'MATRIKS_CP6'!E14</f>
      </c>
      <c r="F10">
        <f>'MATRIKS_CP6'!F11/'MATRIKS_CP6'!F14</f>
      </c>
      <c r="G10">
        <f>'MATRIKS_CP6'!G11/'MATRIKS_CP6'!G14</f>
      </c>
      <c r="H10">
        <f>'MATRIKS_CP6'!H11/'MATRIKS_CP6'!H14</f>
      </c>
      <c r="I10">
        <f>AVERAGE(B10:H10)</f>
      </c>
    </row>
    <row r="11">
      <c r="A11" t="str">
        <v>P7</v>
      </c>
      <c r="B11">
        <f>'MATRIKS_CP6'!B12/'MATRIKS_CP6'!B14</f>
      </c>
      <c r="C11">
        <f>'MATRIKS_CP6'!C12/'MATRIKS_CP6'!C14</f>
      </c>
      <c r="D11">
        <f>'MATRIKS_CP6'!D12/'MATRIKS_CP6'!D14</f>
      </c>
      <c r="E11">
        <f>'MATRIKS_CP6'!E12/'MATRIKS_CP6'!E14</f>
      </c>
      <c r="F11">
        <f>'MATRIKS_CP6'!F12/'MATRIKS_CP6'!F14</f>
      </c>
      <c r="G11">
        <f>'MATRIKS_CP6'!G12/'MATRIKS_CP6'!G14</f>
      </c>
      <c r="H11">
        <f>'MATRIKS_CP6'!H12/'MATRIKS_CP6'!H14</f>
      </c>
      <c r="I11">
        <f>AVERAGE(B11:H11)</f>
      </c>
    </row>
    <row r="13">
      <c r="H13" t="str">
        <v>Total</v>
      </c>
      <c r="I13">
        <f>SUM(I5:I11)</f>
      </c>
    </row>
  </sheetData>
  <ignoredErrors>
    <ignoredError numberStoredAsText="1" sqref="A1:J15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CP6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P1</v>
      </c>
      <c r="B6">
        <f>'NORM_CP6'!I5</f>
      </c>
      <c r="C6">
        <f>SUMPRODUCT('MATRIKS_CP6'!B6:'MATRIKS_CP6'!H6,$B6:$B12)</f>
      </c>
      <c r="D6">
        <f>C6/B6</f>
      </c>
    </row>
    <row r="7">
      <c r="A7" t="str">
        <v>P2</v>
      </c>
      <c r="B7">
        <f>'NORM_CP6'!I6</f>
      </c>
      <c r="C7">
        <f>SUMPRODUCT('MATRIKS_CP6'!B7:'MATRIKS_CP6'!H7,$B6:$B12)</f>
      </c>
      <c r="D7">
        <f>C7/B7</f>
      </c>
    </row>
    <row r="8">
      <c r="A8" t="str">
        <v>P3</v>
      </c>
      <c r="B8">
        <f>'NORM_CP6'!I7</f>
      </c>
      <c r="C8">
        <f>SUMPRODUCT('MATRIKS_CP6'!B8:'MATRIKS_CP6'!H8,$B6:$B12)</f>
      </c>
      <c r="D8">
        <f>C8/B8</f>
      </c>
    </row>
    <row r="9">
      <c r="A9" t="str">
        <v>P4</v>
      </c>
      <c r="B9">
        <f>'NORM_CP6'!I8</f>
      </c>
      <c r="C9">
        <f>SUMPRODUCT('MATRIKS_CP6'!B9:'MATRIKS_CP6'!H9,$B6:$B12)</f>
      </c>
      <c r="D9">
        <f>C9/B9</f>
      </c>
    </row>
    <row r="10">
      <c r="A10" t="str">
        <v>P5</v>
      </c>
      <c r="B10">
        <f>'NORM_CP6'!I9</f>
      </c>
      <c r="C10">
        <f>SUMPRODUCT('MATRIKS_CP6'!B10:'MATRIKS_CP6'!H10,$B6:$B12)</f>
      </c>
      <c r="D10">
        <f>C10/B10</f>
      </c>
    </row>
    <row r="11">
      <c r="A11" t="str">
        <v>P6</v>
      </c>
      <c r="B11">
        <f>'NORM_CP6'!I10</f>
      </c>
      <c r="C11">
        <f>SUMPRODUCT('MATRIKS_CP6'!B11:'MATRIKS_CP6'!H11,$B6:$B12)</f>
      </c>
      <c r="D11">
        <f>C11/B11</f>
      </c>
    </row>
    <row r="12">
      <c r="A12" t="str">
        <v>P7</v>
      </c>
      <c r="B12">
        <f>'NORM_CP6'!I11</f>
      </c>
      <c r="C12">
        <f>SUMPRODUCT('MATRIKS_CP6'!B12:'MATRIKS_CP6'!H12,$B6:$B12)</f>
      </c>
      <c r="D12">
        <f>C12/B12</f>
      </c>
    </row>
    <row r="15">
      <c r="A15" t="str">
        <v>LANGKAH 2: Perhitungan λmax, CI, CR</v>
      </c>
    </row>
    <row r="16">
      <c r="A16" t="str">
        <v>n (jumlah kriteria)</v>
      </c>
      <c r="B16">
        <v>7</v>
      </c>
    </row>
    <row r="17">
      <c r="A17" t="str">
        <v>λmax</v>
      </c>
      <c r="B17">
        <f>AVERAGE(D6:D12)</f>
      </c>
    </row>
    <row r="18">
      <c r="A18" t="str">
        <v>CI (Consistency Index)</v>
      </c>
      <c r="B18">
        <f>(B17-B16)/(B16-1)</f>
      </c>
    </row>
    <row r="19">
      <c r="A19" t="str">
        <v>RI (Random Index)</v>
      </c>
      <c r="B19">
        <v>1.32</v>
      </c>
    </row>
    <row r="20">
      <c r="A20" t="str">
        <v>CR (Consistency Ratio)</v>
      </c>
      <c r="B20">
        <f>B18/B19</f>
      </c>
    </row>
    <row r="22">
      <c r="A22" t="str">
        <v>KESIMPULAN</v>
      </c>
      <c r="B22">
        <f>IF(B20&lt;0.1,"KONSISTEN ✓ (CR &lt; 0.10)","TIDAK KONSISTEN ✗ (CR ≥ 0.10, perlu revisi)")</f>
      </c>
    </row>
    <row r="24">
      <c r="A24" t="str">
        <v>Catatan:</v>
      </c>
    </row>
    <row r="25">
      <c r="A25" t="str">
        <v>• CR &lt; 0.10 → Matriks dianggap konsisten</v>
      </c>
    </row>
    <row r="26">
      <c r="A26" t="str">
        <v>• CR ≥ 0.10 → Matriks TIDAK konsisten, perlu revisi penilaian</v>
      </c>
    </row>
    <row r="27">
      <c r="A27" t="str">
        <v>• λmax ideal ≈ n (jumlah kriteria)</v>
      </c>
    </row>
  </sheetData>
  <ignoredErrors>
    <ignoredError numberStoredAsText="1" sqref="A1:E2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MATRIKS TFN FUZZY — Level 2 — Sub-Kriteria CP6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P1</v>
      </c>
      <c r="C19" t="str">
        <v>P2</v>
      </c>
      <c r="D19" t="str">
        <v>P3</v>
      </c>
      <c r="E19" t="str">
        <v>P4</v>
      </c>
      <c r="F19" t="str">
        <v>P5</v>
      </c>
      <c r="G19" t="str">
        <v>P6</v>
      </c>
      <c r="H19" t="str">
        <v>P7</v>
      </c>
    </row>
    <row r="20">
      <c r="A20" t="str">
        <v>P1</v>
      </c>
      <c r="B20">
        <v>1</v>
      </c>
      <c r="C20">
        <f>IF('INPUT_CP6'!D5="A",VLOOKUP('INPUT_CP6'!E5,$A$7:$D$15,2,FALSE),1/VLOOKUP('INPUT_CP6'!E5,$A$7:$D$15,4,FALSE))</f>
      </c>
      <c r="D20">
        <f>IF('INPUT_CP6'!D6="A",VLOOKUP('INPUT_CP6'!E6,$A$7:$D$15,2,FALSE),1/VLOOKUP('INPUT_CP6'!E6,$A$7:$D$15,4,FALSE))</f>
      </c>
      <c r="E20">
        <f>IF('INPUT_CP6'!D7="A",VLOOKUP('INPUT_CP6'!E7,$A$7:$D$15,2,FALSE),1/VLOOKUP('INPUT_CP6'!E7,$A$7:$D$15,4,FALSE))</f>
      </c>
      <c r="F20">
        <f>IF('INPUT_CP6'!D8="A",VLOOKUP('INPUT_CP6'!E8,$A$7:$D$15,2,FALSE),1/VLOOKUP('INPUT_CP6'!E8,$A$7:$D$15,4,FALSE))</f>
      </c>
      <c r="G20">
        <f>IF('INPUT_CP6'!D9="A",VLOOKUP('INPUT_CP6'!E9,$A$7:$D$15,2,FALSE),1/VLOOKUP('INPUT_CP6'!E9,$A$7:$D$15,4,FALSE))</f>
      </c>
      <c r="H20">
        <f>IF('INPUT_CP6'!D10="A",VLOOKUP('INPUT_CP6'!E10,$A$7:$D$15,2,FALSE),1/VLOOKUP('INPUT_CP6'!E10,$A$7:$D$15,4,FALSE))</f>
      </c>
      <c r="I20" t="str">
        <v>Σ Baris</v>
      </c>
    </row>
    <row r="21">
      <c r="A21" t="str">
        <v>P2</v>
      </c>
      <c r="B21">
        <f>IF('INPUT_CP6'!D5="A",1/VLOOKUP('INPUT_CP6'!E5,$A$7:$D$15,4,FALSE),VLOOKUP('INPUT_CP6'!E5,$A$7:$D$15,2,FALSE))</f>
      </c>
      <c r="C21">
        <v>1</v>
      </c>
      <c r="D21">
        <f>IF('INPUT_CP6'!D11="A",VLOOKUP('INPUT_CP6'!E11,$A$7:$D$15,2,FALSE),1/VLOOKUP('INPUT_CP6'!E11,$A$7:$D$15,4,FALSE))</f>
      </c>
      <c r="E21">
        <f>IF('INPUT_CP6'!D12="A",VLOOKUP('INPUT_CP6'!E12,$A$7:$D$15,2,FALSE),1/VLOOKUP('INPUT_CP6'!E12,$A$7:$D$15,4,FALSE))</f>
      </c>
      <c r="F21">
        <f>IF('INPUT_CP6'!D13="A",VLOOKUP('INPUT_CP6'!E13,$A$7:$D$15,2,FALSE),1/VLOOKUP('INPUT_CP6'!E13,$A$7:$D$15,4,FALSE))</f>
      </c>
      <c r="G21">
        <f>IF('INPUT_CP6'!D14="A",VLOOKUP('INPUT_CP6'!E14,$A$7:$D$15,2,FALSE),1/VLOOKUP('INPUT_CP6'!E14,$A$7:$D$15,4,FALSE))</f>
      </c>
      <c r="H21">
        <f>IF('INPUT_CP6'!D15="A",VLOOKUP('INPUT_CP6'!E15,$A$7:$D$15,2,FALSE),1/VLOOKUP('INPUT_CP6'!E15,$A$7:$D$15,4,FALSE))</f>
      </c>
      <c r="I21">
        <f>SUM(B21:H21)</f>
      </c>
    </row>
    <row r="22">
      <c r="A22" t="str">
        <v>P3</v>
      </c>
      <c r="B22">
        <f>IF('INPUT_CP6'!D6="A",1/VLOOKUP('INPUT_CP6'!E6,$A$7:$D$15,4,FALSE),VLOOKUP('INPUT_CP6'!E6,$A$7:$D$15,2,FALSE))</f>
      </c>
      <c r="C22">
        <f>IF('INPUT_CP6'!D11="A",1/VLOOKUP('INPUT_CP6'!E11,$A$7:$D$15,4,FALSE),VLOOKUP('INPUT_CP6'!E11,$A$7:$D$15,2,FALSE))</f>
      </c>
      <c r="D22">
        <v>1</v>
      </c>
      <c r="E22">
        <f>IF('INPUT_CP6'!D16="A",VLOOKUP('INPUT_CP6'!E16,$A$7:$D$15,2,FALSE),1/VLOOKUP('INPUT_CP6'!E16,$A$7:$D$15,4,FALSE))</f>
      </c>
      <c r="F22">
        <f>IF('INPUT_CP6'!D17="A",VLOOKUP('INPUT_CP6'!E17,$A$7:$D$15,2,FALSE),1/VLOOKUP('INPUT_CP6'!E17,$A$7:$D$15,4,FALSE))</f>
      </c>
      <c r="G22">
        <f>IF('INPUT_CP6'!D18="A",VLOOKUP('INPUT_CP6'!E18,$A$7:$D$15,2,FALSE),1/VLOOKUP('INPUT_CP6'!E18,$A$7:$D$15,4,FALSE))</f>
      </c>
      <c r="H22">
        <f>IF('INPUT_CP6'!D19="A",VLOOKUP('INPUT_CP6'!E19,$A$7:$D$15,2,FALSE),1/VLOOKUP('INPUT_CP6'!E19,$A$7:$D$15,4,FALSE))</f>
      </c>
      <c r="I22">
        <f>SUM(B22:H22)</f>
      </c>
    </row>
    <row r="23">
      <c r="A23" t="str">
        <v>P4</v>
      </c>
      <c r="B23">
        <f>IF('INPUT_CP6'!D7="A",1/VLOOKUP('INPUT_CP6'!E7,$A$7:$D$15,4,FALSE),VLOOKUP('INPUT_CP6'!E7,$A$7:$D$15,2,FALSE))</f>
      </c>
      <c r="C23">
        <f>IF('INPUT_CP6'!D12="A",1/VLOOKUP('INPUT_CP6'!E12,$A$7:$D$15,4,FALSE),VLOOKUP('INPUT_CP6'!E12,$A$7:$D$15,2,FALSE))</f>
      </c>
      <c r="D23">
        <f>IF('INPUT_CP6'!D16="A",1/VLOOKUP('INPUT_CP6'!E16,$A$7:$D$15,4,FALSE),VLOOKUP('INPUT_CP6'!E16,$A$7:$D$15,2,FALSE))</f>
      </c>
      <c r="E23">
        <v>1</v>
      </c>
      <c r="F23">
        <f>IF('INPUT_CP6'!D20="A",VLOOKUP('INPUT_CP6'!E20,$A$7:$D$15,2,FALSE),1/VLOOKUP('INPUT_CP6'!E20,$A$7:$D$15,4,FALSE))</f>
      </c>
      <c r="G23">
        <f>IF('INPUT_CP6'!D21="A",VLOOKUP('INPUT_CP6'!E21,$A$7:$D$15,2,FALSE),1/VLOOKUP('INPUT_CP6'!E21,$A$7:$D$15,4,FALSE))</f>
      </c>
      <c r="H23">
        <f>IF('INPUT_CP6'!D22="A",VLOOKUP('INPUT_CP6'!E22,$A$7:$D$15,2,FALSE),1/VLOOKUP('INPUT_CP6'!E22,$A$7:$D$15,4,FALSE))</f>
      </c>
      <c r="I23">
        <f>SUM(B23:H23)</f>
      </c>
    </row>
    <row r="24">
      <c r="A24" t="str">
        <v>P5</v>
      </c>
      <c r="B24">
        <f>IF('INPUT_CP6'!D8="A",1/VLOOKUP('INPUT_CP6'!E8,$A$7:$D$15,4,FALSE),VLOOKUP('INPUT_CP6'!E8,$A$7:$D$15,2,FALSE))</f>
      </c>
      <c r="C24">
        <f>IF('INPUT_CP6'!D13="A",1/VLOOKUP('INPUT_CP6'!E13,$A$7:$D$15,4,FALSE),VLOOKUP('INPUT_CP6'!E13,$A$7:$D$15,2,FALSE))</f>
      </c>
      <c r="D24">
        <f>IF('INPUT_CP6'!D17="A",1/VLOOKUP('INPUT_CP6'!E17,$A$7:$D$15,4,FALSE),VLOOKUP('INPUT_CP6'!E17,$A$7:$D$15,2,FALSE))</f>
      </c>
      <c r="E24">
        <f>IF('INPUT_CP6'!D20="A",1/VLOOKUP('INPUT_CP6'!E20,$A$7:$D$15,4,FALSE),VLOOKUP('INPUT_CP6'!E20,$A$7:$D$15,2,FALSE))</f>
      </c>
      <c r="F24">
        <v>1</v>
      </c>
      <c r="G24">
        <f>IF('INPUT_CP6'!D23="A",VLOOKUP('INPUT_CP6'!E23,$A$7:$D$15,2,FALSE),1/VLOOKUP('INPUT_CP6'!E23,$A$7:$D$15,4,FALSE))</f>
      </c>
      <c r="H24">
        <f>IF('INPUT_CP6'!D24="A",VLOOKUP('INPUT_CP6'!E24,$A$7:$D$15,2,FALSE),1/VLOOKUP('INPUT_CP6'!E24,$A$7:$D$15,4,FALSE))</f>
      </c>
      <c r="I24">
        <f>SUM(B24:H24)</f>
      </c>
    </row>
    <row r="25">
      <c r="A25" t="str">
        <v>P6</v>
      </c>
      <c r="B25">
        <f>IF('INPUT_CP6'!D9="A",1/VLOOKUP('INPUT_CP6'!E9,$A$7:$D$15,4,FALSE),VLOOKUP('INPUT_CP6'!E9,$A$7:$D$15,2,FALSE))</f>
      </c>
      <c r="C25">
        <f>IF('INPUT_CP6'!D14="A",1/VLOOKUP('INPUT_CP6'!E14,$A$7:$D$15,4,FALSE),VLOOKUP('INPUT_CP6'!E14,$A$7:$D$15,2,FALSE))</f>
      </c>
      <c r="D25">
        <f>IF('INPUT_CP6'!D18="A",1/VLOOKUP('INPUT_CP6'!E18,$A$7:$D$15,4,FALSE),VLOOKUP('INPUT_CP6'!E18,$A$7:$D$15,2,FALSE))</f>
      </c>
      <c r="E25">
        <f>IF('INPUT_CP6'!D21="A",1/VLOOKUP('INPUT_CP6'!E21,$A$7:$D$15,4,FALSE),VLOOKUP('INPUT_CP6'!E21,$A$7:$D$15,2,FALSE))</f>
      </c>
      <c r="F25">
        <f>IF('INPUT_CP6'!D23="A",1/VLOOKUP('INPUT_CP6'!E23,$A$7:$D$15,4,FALSE),VLOOKUP('INPUT_CP6'!E23,$A$7:$D$15,2,FALSE))</f>
      </c>
      <c r="G25">
        <v>1</v>
      </c>
      <c r="H25">
        <f>IF('INPUT_CP6'!D25="A",VLOOKUP('INPUT_CP6'!E25,$A$7:$D$15,2,FALSE),1/VLOOKUP('INPUT_CP6'!E25,$A$7:$D$15,4,FALSE))</f>
      </c>
      <c r="I25">
        <f>SUM(B25:H25)</f>
      </c>
    </row>
    <row r="26">
      <c r="A26" t="str">
        <v>P7</v>
      </c>
      <c r="B26">
        <f>IF('INPUT_CP6'!D10="A",1/VLOOKUP('INPUT_CP6'!E10,$A$7:$D$15,4,FALSE),VLOOKUP('INPUT_CP6'!E10,$A$7:$D$15,2,FALSE))</f>
      </c>
      <c r="C26">
        <f>IF('INPUT_CP6'!D15="A",1/VLOOKUP('INPUT_CP6'!E15,$A$7:$D$15,4,FALSE),VLOOKUP('INPUT_CP6'!E15,$A$7:$D$15,2,FALSE))</f>
      </c>
      <c r="D26">
        <f>IF('INPUT_CP6'!D19="A",1/VLOOKUP('INPUT_CP6'!E19,$A$7:$D$15,4,FALSE),VLOOKUP('INPUT_CP6'!E19,$A$7:$D$15,2,FALSE))</f>
      </c>
      <c r="E26">
        <f>IF('INPUT_CP6'!D22="A",1/VLOOKUP('INPUT_CP6'!E22,$A$7:$D$15,4,FALSE),VLOOKUP('INPUT_CP6'!E22,$A$7:$D$15,2,FALSE))</f>
      </c>
      <c r="F26">
        <f>IF('INPUT_CP6'!D24="A",1/VLOOKUP('INPUT_CP6'!E24,$A$7:$D$15,4,FALSE),VLOOKUP('INPUT_CP6'!E24,$A$7:$D$15,2,FALSE))</f>
      </c>
      <c r="G26">
        <f>IF('INPUT_CP6'!D25="A",1/VLOOKUP('INPUT_CP6'!E25,$A$7:$D$15,4,FALSE),VLOOKUP('INPUT_CP6'!E25,$A$7:$D$15,2,FALSE))</f>
      </c>
      <c r="H26">
        <v>1</v>
      </c>
      <c r="I26">
        <f>SUM(B26:H26)</f>
      </c>
    </row>
    <row r="27">
      <c r="I27">
        <f>SUM(B27:H27)</f>
      </c>
    </row>
    <row r="28">
      <c r="A28" t="str">
        <v>TOTAL</v>
      </c>
      <c r="I28">
        <f>SUM(I21:I27)</f>
      </c>
    </row>
    <row r="29">
      <c r="I29">
        <f>SUM(B22:H22)</f>
      </c>
    </row>
    <row r="30">
      <c r="I30">
        <f>SUM(B23:H23)</f>
      </c>
    </row>
    <row r="31">
      <c r="A31" t="str">
        <v>MATRIKS TFN — Komponen m (Middle)</v>
      </c>
      <c r="I31">
        <f>SUM(B24:H24)</f>
      </c>
    </row>
    <row r="32">
      <c r="A32" t="str">
        <v/>
      </c>
      <c r="B32" t="str">
        <v>P1</v>
      </c>
      <c r="C32" t="str">
        <v>P2</v>
      </c>
      <c r="D32" t="str">
        <v>P3</v>
      </c>
      <c r="E32" t="str">
        <v>P4</v>
      </c>
      <c r="F32" t="str">
        <v>P5</v>
      </c>
      <c r="G32" t="str">
        <v>P6</v>
      </c>
      <c r="H32" t="str">
        <v>P7</v>
      </c>
      <c r="I32" t="str">
        <v>Σ Baris</v>
      </c>
    </row>
    <row r="33">
      <c r="A33" t="str">
        <v>P1</v>
      </c>
      <c r="B33">
        <v>1</v>
      </c>
      <c r="C33">
        <f>IF('INPUT_CP6'!D5="A",VLOOKUP('INPUT_CP6'!E5,$A$7:$D$15,3,FALSE),1/VLOOKUP('INPUT_CP6'!E5,$A$7:$D$15,3,FALSE))</f>
      </c>
      <c r="D33">
        <f>IF('INPUT_CP6'!D6="A",VLOOKUP('INPUT_CP6'!E6,$A$7:$D$15,3,FALSE),1/VLOOKUP('INPUT_CP6'!E6,$A$7:$D$15,3,FALSE))</f>
      </c>
      <c r="E33">
        <f>IF('INPUT_CP6'!D7="A",VLOOKUP('INPUT_CP6'!E7,$A$7:$D$15,3,FALSE),1/VLOOKUP('INPUT_CP6'!E7,$A$7:$D$15,3,FALSE))</f>
      </c>
      <c r="F33">
        <f>IF('INPUT_CP6'!D8="A",VLOOKUP('INPUT_CP6'!E8,$A$7:$D$15,3,FALSE),1/VLOOKUP('INPUT_CP6'!E8,$A$7:$D$15,3,FALSE))</f>
      </c>
      <c r="G33">
        <f>IF('INPUT_CP6'!D9="A",VLOOKUP('INPUT_CP6'!E9,$A$7:$D$15,3,FALSE),1/VLOOKUP('INPUT_CP6'!E9,$A$7:$D$15,3,FALSE))</f>
      </c>
      <c r="H33">
        <f>IF('INPUT_CP6'!D10="A",VLOOKUP('INPUT_CP6'!E10,$A$7:$D$15,3,FALSE),1/VLOOKUP('INPUT_CP6'!E10,$A$7:$D$15,3,FALSE))</f>
      </c>
      <c r="I33">
        <f>SUM(B33:H33)</f>
      </c>
    </row>
    <row r="34">
      <c r="A34" t="str">
        <v>P2</v>
      </c>
      <c r="B34">
        <f>IF('INPUT_CP6'!D5="A",1/VLOOKUP('INPUT_CP6'!E5,$A$7:$D$15,3,FALSE),VLOOKUP('INPUT_CP6'!E5,$A$7:$D$15,3,FALSE))</f>
      </c>
      <c r="C34">
        <v>1</v>
      </c>
      <c r="D34">
        <f>IF('INPUT_CP6'!D11="A",VLOOKUP('INPUT_CP6'!E11,$A$7:$D$15,3,FALSE),1/VLOOKUP('INPUT_CP6'!E11,$A$7:$D$15,3,FALSE))</f>
      </c>
      <c r="E34">
        <f>IF('INPUT_CP6'!D12="A",VLOOKUP('INPUT_CP6'!E12,$A$7:$D$15,3,FALSE),1/VLOOKUP('INPUT_CP6'!E12,$A$7:$D$15,3,FALSE))</f>
      </c>
      <c r="F34">
        <f>IF('INPUT_CP6'!D13="A",VLOOKUP('INPUT_CP6'!E13,$A$7:$D$15,3,FALSE),1/VLOOKUP('INPUT_CP6'!E13,$A$7:$D$15,3,FALSE))</f>
      </c>
      <c r="G34">
        <f>IF('INPUT_CP6'!D14="A",VLOOKUP('INPUT_CP6'!E14,$A$7:$D$15,3,FALSE),1/VLOOKUP('INPUT_CP6'!E14,$A$7:$D$15,3,FALSE))</f>
      </c>
      <c r="H34">
        <f>IF('INPUT_CP6'!D15="A",VLOOKUP('INPUT_CP6'!E15,$A$7:$D$15,3,FALSE),1/VLOOKUP('INPUT_CP6'!E15,$A$7:$D$15,3,FALSE))</f>
      </c>
      <c r="I34">
        <f>SUM(B34:H34)</f>
      </c>
    </row>
    <row r="35">
      <c r="A35" t="str">
        <v>P3</v>
      </c>
      <c r="B35">
        <f>IF('INPUT_CP6'!D6="A",1/VLOOKUP('INPUT_CP6'!E6,$A$7:$D$15,3,FALSE),VLOOKUP('INPUT_CP6'!E6,$A$7:$D$15,3,FALSE))</f>
      </c>
      <c r="C35">
        <f>IF('INPUT_CP6'!D11="A",1/VLOOKUP('INPUT_CP6'!E11,$A$7:$D$15,3,FALSE),VLOOKUP('INPUT_CP6'!E11,$A$7:$D$15,3,FALSE))</f>
      </c>
      <c r="D35">
        <v>1</v>
      </c>
      <c r="E35">
        <f>IF('INPUT_CP6'!D16="A",VLOOKUP('INPUT_CP6'!E16,$A$7:$D$15,3,FALSE),1/VLOOKUP('INPUT_CP6'!E16,$A$7:$D$15,3,FALSE))</f>
      </c>
      <c r="F35">
        <f>IF('INPUT_CP6'!D17="A",VLOOKUP('INPUT_CP6'!E17,$A$7:$D$15,3,FALSE),1/VLOOKUP('INPUT_CP6'!E17,$A$7:$D$15,3,FALSE))</f>
      </c>
      <c r="G35">
        <f>IF('INPUT_CP6'!D18="A",VLOOKUP('INPUT_CP6'!E18,$A$7:$D$15,3,FALSE),1/VLOOKUP('INPUT_CP6'!E18,$A$7:$D$15,3,FALSE))</f>
      </c>
      <c r="H35">
        <f>IF('INPUT_CP6'!D19="A",VLOOKUP('INPUT_CP6'!E19,$A$7:$D$15,3,FALSE),1/VLOOKUP('INPUT_CP6'!E19,$A$7:$D$15,3,FALSE))</f>
      </c>
      <c r="I35">
        <f>SUM(B35:H35)</f>
      </c>
    </row>
    <row r="36">
      <c r="A36" t="str">
        <v>P4</v>
      </c>
      <c r="B36">
        <f>IF('INPUT_CP6'!D7="A",1/VLOOKUP('INPUT_CP6'!E7,$A$7:$D$15,3,FALSE),VLOOKUP('INPUT_CP6'!E7,$A$7:$D$15,3,FALSE))</f>
      </c>
      <c r="C36">
        <f>IF('INPUT_CP6'!D12="A",1/VLOOKUP('INPUT_CP6'!E12,$A$7:$D$15,3,FALSE),VLOOKUP('INPUT_CP6'!E12,$A$7:$D$15,3,FALSE))</f>
      </c>
      <c r="D36">
        <f>IF('INPUT_CP6'!D16="A",1/VLOOKUP('INPUT_CP6'!E16,$A$7:$D$15,3,FALSE),VLOOKUP('INPUT_CP6'!E16,$A$7:$D$15,3,FALSE))</f>
      </c>
      <c r="E36">
        <v>1</v>
      </c>
      <c r="F36">
        <f>IF('INPUT_CP6'!D20="A",VLOOKUP('INPUT_CP6'!E20,$A$7:$D$15,3,FALSE),1/VLOOKUP('INPUT_CP6'!E20,$A$7:$D$15,3,FALSE))</f>
      </c>
      <c r="G36">
        <f>IF('INPUT_CP6'!D21="A",VLOOKUP('INPUT_CP6'!E21,$A$7:$D$15,3,FALSE),1/VLOOKUP('INPUT_CP6'!E21,$A$7:$D$15,3,FALSE))</f>
      </c>
      <c r="H36">
        <f>IF('INPUT_CP6'!D22="A",VLOOKUP('INPUT_CP6'!E22,$A$7:$D$15,3,FALSE),1/VLOOKUP('INPUT_CP6'!E22,$A$7:$D$15,3,FALSE))</f>
      </c>
      <c r="I36">
        <f>SUM(B36:H36)</f>
      </c>
    </row>
    <row r="37">
      <c r="A37" t="str">
        <v>P5</v>
      </c>
      <c r="B37">
        <f>IF('INPUT_CP6'!D8="A",1/VLOOKUP('INPUT_CP6'!E8,$A$7:$D$15,3,FALSE),VLOOKUP('INPUT_CP6'!E8,$A$7:$D$15,3,FALSE))</f>
      </c>
      <c r="C37">
        <f>IF('INPUT_CP6'!D13="A",1/VLOOKUP('INPUT_CP6'!E13,$A$7:$D$15,3,FALSE),VLOOKUP('INPUT_CP6'!E13,$A$7:$D$15,3,FALSE))</f>
      </c>
      <c r="D37">
        <f>IF('INPUT_CP6'!D17="A",1/VLOOKUP('INPUT_CP6'!E17,$A$7:$D$15,3,FALSE),VLOOKUP('INPUT_CP6'!E17,$A$7:$D$15,3,FALSE))</f>
      </c>
      <c r="E37">
        <f>IF('INPUT_CP6'!D20="A",1/VLOOKUP('INPUT_CP6'!E20,$A$7:$D$15,3,FALSE),VLOOKUP('INPUT_CP6'!E20,$A$7:$D$15,3,FALSE))</f>
      </c>
      <c r="F37">
        <v>1</v>
      </c>
      <c r="G37">
        <f>IF('INPUT_CP6'!D23="A",VLOOKUP('INPUT_CP6'!E23,$A$7:$D$15,3,FALSE),1/VLOOKUP('INPUT_CP6'!E23,$A$7:$D$15,3,FALSE))</f>
      </c>
      <c r="H37">
        <f>IF('INPUT_CP6'!D24="A",VLOOKUP('INPUT_CP6'!E24,$A$7:$D$15,3,FALSE),1/VLOOKUP('INPUT_CP6'!E24,$A$7:$D$15,3,FALSE))</f>
      </c>
      <c r="I37">
        <f>SUM(B37:H37)</f>
      </c>
    </row>
    <row r="38">
      <c r="A38" t="str">
        <v>P6</v>
      </c>
      <c r="B38">
        <f>IF('INPUT_CP6'!D9="A",1/VLOOKUP('INPUT_CP6'!E9,$A$7:$D$15,3,FALSE),VLOOKUP('INPUT_CP6'!E9,$A$7:$D$15,3,FALSE))</f>
      </c>
      <c r="C38">
        <f>IF('INPUT_CP6'!D14="A",1/VLOOKUP('INPUT_CP6'!E14,$A$7:$D$15,3,FALSE),VLOOKUP('INPUT_CP6'!E14,$A$7:$D$15,3,FALSE))</f>
      </c>
      <c r="D38">
        <f>IF('INPUT_CP6'!D18="A",1/VLOOKUP('INPUT_CP6'!E18,$A$7:$D$15,3,FALSE),VLOOKUP('INPUT_CP6'!E18,$A$7:$D$15,3,FALSE))</f>
      </c>
      <c r="E38">
        <f>IF('INPUT_CP6'!D21="A",1/VLOOKUP('INPUT_CP6'!E21,$A$7:$D$15,3,FALSE),VLOOKUP('INPUT_CP6'!E21,$A$7:$D$15,3,FALSE))</f>
      </c>
      <c r="F38">
        <f>IF('INPUT_CP6'!D23="A",1/VLOOKUP('INPUT_CP6'!E23,$A$7:$D$15,3,FALSE),VLOOKUP('INPUT_CP6'!E23,$A$7:$D$15,3,FALSE))</f>
      </c>
      <c r="G38">
        <v>1</v>
      </c>
      <c r="H38">
        <f>IF('INPUT_CP6'!D25="A",VLOOKUP('INPUT_CP6'!E25,$A$7:$D$15,3,FALSE),1/VLOOKUP('INPUT_CP6'!E25,$A$7:$D$15,3,FALSE))</f>
      </c>
      <c r="I38">
        <f>SUM(B38:H38)</f>
      </c>
    </row>
    <row r="39">
      <c r="A39" t="str">
        <v>P7</v>
      </c>
      <c r="B39">
        <f>IF('INPUT_CP6'!D10="A",1/VLOOKUP('INPUT_CP6'!E10,$A$7:$D$15,3,FALSE),VLOOKUP('INPUT_CP6'!E10,$A$7:$D$15,3,FALSE))</f>
      </c>
      <c r="C39">
        <f>IF('INPUT_CP6'!D15="A",1/VLOOKUP('INPUT_CP6'!E15,$A$7:$D$15,3,FALSE),VLOOKUP('INPUT_CP6'!E15,$A$7:$D$15,3,FALSE))</f>
      </c>
      <c r="D39">
        <f>IF('INPUT_CP6'!D19="A",1/VLOOKUP('INPUT_CP6'!E19,$A$7:$D$15,3,FALSE),VLOOKUP('INPUT_CP6'!E19,$A$7:$D$15,3,FALSE))</f>
      </c>
      <c r="E39">
        <f>IF('INPUT_CP6'!D22="A",1/VLOOKUP('INPUT_CP6'!E22,$A$7:$D$15,3,FALSE),VLOOKUP('INPUT_CP6'!E22,$A$7:$D$15,3,FALSE))</f>
      </c>
      <c r="F39">
        <f>IF('INPUT_CP6'!D24="A",1/VLOOKUP('INPUT_CP6'!E24,$A$7:$D$15,3,FALSE),VLOOKUP('INPUT_CP6'!E24,$A$7:$D$15,3,FALSE))</f>
      </c>
      <c r="G39">
        <f>IF('INPUT_CP6'!D25="A",1/VLOOKUP('INPUT_CP6'!E25,$A$7:$D$15,3,FALSE),VLOOKUP('INPUT_CP6'!E25,$A$7:$D$15,3,FALSE))</f>
      </c>
      <c r="H39">
        <v>1</v>
      </c>
      <c r="I39">
        <f>SUM(B39:H39)</f>
      </c>
    </row>
    <row r="40">
      <c r="A40" t="str">
        <v>TOTAL</v>
      </c>
      <c r="I40">
        <f>SUM(I34:I40)</f>
      </c>
    </row>
    <row r="43">
      <c r="A43" t="str">
        <v>MATRIKS TFN — Komponen u (Upper)</v>
      </c>
    </row>
    <row r="44">
      <c r="A44" t="str">
        <v/>
      </c>
      <c r="B44" t="str">
        <v>P1</v>
      </c>
      <c r="C44" t="str">
        <v>P2</v>
      </c>
      <c r="D44" t="str">
        <v>P3</v>
      </c>
      <c r="E44" t="str">
        <v>P4</v>
      </c>
      <c r="F44" t="str">
        <v>P5</v>
      </c>
      <c r="G44" t="str">
        <v>P6</v>
      </c>
      <c r="H44" t="str">
        <v>P7</v>
      </c>
      <c r="I44" t="str">
        <v>Σ Baris</v>
      </c>
    </row>
    <row r="45">
      <c r="A45" t="str">
        <v>P1</v>
      </c>
      <c r="B45">
        <v>1</v>
      </c>
      <c r="C45">
        <f>IF('INPUT_CP6'!D5="A",VLOOKUP('INPUT_CP6'!E5,$A$7:$D$15,4,FALSE),1/VLOOKUP('INPUT_CP6'!E5,$A$7:$D$15,2,FALSE))</f>
      </c>
      <c r="D45">
        <f>IF('INPUT_CP6'!D6="A",VLOOKUP('INPUT_CP6'!E6,$A$7:$D$15,4,FALSE),1/VLOOKUP('INPUT_CP6'!E6,$A$7:$D$15,2,FALSE))</f>
      </c>
      <c r="E45">
        <f>IF('INPUT_CP6'!D7="A",VLOOKUP('INPUT_CP6'!E7,$A$7:$D$15,4,FALSE),1/VLOOKUP('INPUT_CP6'!E7,$A$7:$D$15,2,FALSE))</f>
      </c>
      <c r="F45">
        <f>IF('INPUT_CP6'!D8="A",VLOOKUP('INPUT_CP6'!E8,$A$7:$D$15,4,FALSE),1/VLOOKUP('INPUT_CP6'!E8,$A$7:$D$15,2,FALSE))</f>
      </c>
      <c r="G45">
        <f>IF('INPUT_CP6'!D9="A",VLOOKUP('INPUT_CP6'!E9,$A$7:$D$15,4,FALSE),1/VLOOKUP('INPUT_CP6'!E9,$A$7:$D$15,2,FALSE))</f>
      </c>
      <c r="H45">
        <f>IF('INPUT_CP6'!D10="A",VLOOKUP('INPUT_CP6'!E10,$A$7:$D$15,4,FALSE),1/VLOOKUP('INPUT_CP6'!E10,$A$7:$D$15,2,FALSE))</f>
      </c>
      <c r="I45">
        <f>SUM(B45:H45)</f>
      </c>
    </row>
    <row r="46">
      <c r="A46" t="str">
        <v>P2</v>
      </c>
      <c r="B46">
        <f>IF('INPUT_CP6'!D5="A",1/VLOOKUP('INPUT_CP6'!E5,$A$7:$D$15,2,FALSE),VLOOKUP('INPUT_CP6'!E5,$A$7:$D$15,4,FALSE))</f>
      </c>
      <c r="C46">
        <v>1</v>
      </c>
      <c r="D46">
        <f>IF('INPUT_CP6'!D11="A",VLOOKUP('INPUT_CP6'!E11,$A$7:$D$15,4,FALSE),1/VLOOKUP('INPUT_CP6'!E11,$A$7:$D$15,2,FALSE))</f>
      </c>
      <c r="E46">
        <f>IF('INPUT_CP6'!D12="A",VLOOKUP('INPUT_CP6'!E12,$A$7:$D$15,4,FALSE),1/VLOOKUP('INPUT_CP6'!E12,$A$7:$D$15,2,FALSE))</f>
      </c>
      <c r="F46">
        <f>IF('INPUT_CP6'!D13="A",VLOOKUP('INPUT_CP6'!E13,$A$7:$D$15,4,FALSE),1/VLOOKUP('INPUT_CP6'!E13,$A$7:$D$15,2,FALSE))</f>
      </c>
      <c r="G46">
        <f>IF('INPUT_CP6'!D14="A",VLOOKUP('INPUT_CP6'!E14,$A$7:$D$15,4,FALSE),1/VLOOKUP('INPUT_CP6'!E14,$A$7:$D$15,2,FALSE))</f>
      </c>
      <c r="H46">
        <f>IF('INPUT_CP6'!D15="A",VLOOKUP('INPUT_CP6'!E15,$A$7:$D$15,4,FALSE),1/VLOOKUP('INPUT_CP6'!E15,$A$7:$D$15,2,FALSE))</f>
      </c>
      <c r="I46">
        <f>SUM(B46:H46)</f>
      </c>
    </row>
    <row r="47">
      <c r="A47" t="str">
        <v>P3</v>
      </c>
      <c r="B47">
        <f>IF('INPUT_CP6'!D6="A",1/VLOOKUP('INPUT_CP6'!E6,$A$7:$D$15,2,FALSE),VLOOKUP('INPUT_CP6'!E6,$A$7:$D$15,4,FALSE))</f>
      </c>
      <c r="C47">
        <f>IF('INPUT_CP6'!D11="A",1/VLOOKUP('INPUT_CP6'!E11,$A$7:$D$15,2,FALSE),VLOOKUP('INPUT_CP6'!E11,$A$7:$D$15,4,FALSE))</f>
      </c>
      <c r="D47">
        <v>1</v>
      </c>
      <c r="E47">
        <f>IF('INPUT_CP6'!D16="A",VLOOKUP('INPUT_CP6'!E16,$A$7:$D$15,4,FALSE),1/VLOOKUP('INPUT_CP6'!E16,$A$7:$D$15,2,FALSE))</f>
      </c>
      <c r="F47">
        <f>IF('INPUT_CP6'!D17="A",VLOOKUP('INPUT_CP6'!E17,$A$7:$D$15,4,FALSE),1/VLOOKUP('INPUT_CP6'!E17,$A$7:$D$15,2,FALSE))</f>
      </c>
      <c r="G47">
        <f>IF('INPUT_CP6'!D18="A",VLOOKUP('INPUT_CP6'!E18,$A$7:$D$15,4,FALSE),1/VLOOKUP('INPUT_CP6'!E18,$A$7:$D$15,2,FALSE))</f>
      </c>
      <c r="H47">
        <f>IF('INPUT_CP6'!D19="A",VLOOKUP('INPUT_CP6'!E19,$A$7:$D$15,4,FALSE),1/VLOOKUP('INPUT_CP6'!E19,$A$7:$D$15,2,FALSE))</f>
      </c>
      <c r="I47">
        <f>SUM(B47:H47)</f>
      </c>
    </row>
    <row r="48">
      <c r="A48" t="str">
        <v>P4</v>
      </c>
      <c r="B48">
        <f>IF('INPUT_CP6'!D7="A",1/VLOOKUP('INPUT_CP6'!E7,$A$7:$D$15,2,FALSE),VLOOKUP('INPUT_CP6'!E7,$A$7:$D$15,4,FALSE))</f>
      </c>
      <c r="C48">
        <f>IF('INPUT_CP6'!D12="A",1/VLOOKUP('INPUT_CP6'!E12,$A$7:$D$15,2,FALSE),VLOOKUP('INPUT_CP6'!E12,$A$7:$D$15,4,FALSE))</f>
      </c>
      <c r="D48">
        <f>IF('INPUT_CP6'!D16="A",1/VLOOKUP('INPUT_CP6'!E16,$A$7:$D$15,2,FALSE),VLOOKUP('INPUT_CP6'!E16,$A$7:$D$15,4,FALSE))</f>
      </c>
      <c r="E48">
        <v>1</v>
      </c>
      <c r="F48">
        <f>IF('INPUT_CP6'!D20="A",VLOOKUP('INPUT_CP6'!E20,$A$7:$D$15,4,FALSE),1/VLOOKUP('INPUT_CP6'!E20,$A$7:$D$15,2,FALSE))</f>
      </c>
      <c r="G48">
        <f>IF('INPUT_CP6'!D21="A",VLOOKUP('INPUT_CP6'!E21,$A$7:$D$15,4,FALSE),1/VLOOKUP('INPUT_CP6'!E21,$A$7:$D$15,2,FALSE))</f>
      </c>
      <c r="H48">
        <f>IF('INPUT_CP6'!D22="A",VLOOKUP('INPUT_CP6'!E22,$A$7:$D$15,4,FALSE),1/VLOOKUP('INPUT_CP6'!E22,$A$7:$D$15,2,FALSE))</f>
      </c>
      <c r="I48">
        <f>SUM(B48:H48)</f>
      </c>
    </row>
    <row r="49">
      <c r="A49" t="str">
        <v>P5</v>
      </c>
      <c r="B49">
        <f>IF('INPUT_CP6'!D8="A",1/VLOOKUP('INPUT_CP6'!E8,$A$7:$D$15,2,FALSE),VLOOKUP('INPUT_CP6'!E8,$A$7:$D$15,4,FALSE))</f>
      </c>
      <c r="C49">
        <f>IF('INPUT_CP6'!D13="A",1/VLOOKUP('INPUT_CP6'!E13,$A$7:$D$15,2,FALSE),VLOOKUP('INPUT_CP6'!E13,$A$7:$D$15,4,FALSE))</f>
      </c>
      <c r="D49">
        <f>IF('INPUT_CP6'!D17="A",1/VLOOKUP('INPUT_CP6'!E17,$A$7:$D$15,2,FALSE),VLOOKUP('INPUT_CP6'!E17,$A$7:$D$15,4,FALSE))</f>
      </c>
      <c r="E49">
        <f>IF('INPUT_CP6'!D20="A",1/VLOOKUP('INPUT_CP6'!E20,$A$7:$D$15,2,FALSE),VLOOKUP('INPUT_CP6'!E20,$A$7:$D$15,4,FALSE))</f>
      </c>
      <c r="F49">
        <v>1</v>
      </c>
      <c r="G49">
        <f>IF('INPUT_CP6'!D23="A",VLOOKUP('INPUT_CP6'!E23,$A$7:$D$15,4,FALSE),1/VLOOKUP('INPUT_CP6'!E23,$A$7:$D$15,2,FALSE))</f>
      </c>
      <c r="H49">
        <f>IF('INPUT_CP6'!D24="A",VLOOKUP('INPUT_CP6'!E24,$A$7:$D$15,4,FALSE),1/VLOOKUP('INPUT_CP6'!E24,$A$7:$D$15,2,FALSE))</f>
      </c>
      <c r="I49">
        <f>SUM(B49:H49)</f>
      </c>
    </row>
    <row r="50">
      <c r="A50" t="str">
        <v>P6</v>
      </c>
      <c r="B50">
        <f>IF('INPUT_CP6'!D9="A",1/VLOOKUP('INPUT_CP6'!E9,$A$7:$D$15,2,FALSE),VLOOKUP('INPUT_CP6'!E9,$A$7:$D$15,4,FALSE))</f>
      </c>
      <c r="C50">
        <f>IF('INPUT_CP6'!D14="A",1/VLOOKUP('INPUT_CP6'!E14,$A$7:$D$15,2,FALSE),VLOOKUP('INPUT_CP6'!E14,$A$7:$D$15,4,FALSE))</f>
      </c>
      <c r="D50">
        <f>IF('INPUT_CP6'!D18="A",1/VLOOKUP('INPUT_CP6'!E18,$A$7:$D$15,2,FALSE),VLOOKUP('INPUT_CP6'!E18,$A$7:$D$15,4,FALSE))</f>
      </c>
      <c r="E50">
        <f>IF('INPUT_CP6'!D21="A",1/VLOOKUP('INPUT_CP6'!E21,$A$7:$D$15,2,FALSE),VLOOKUP('INPUT_CP6'!E21,$A$7:$D$15,4,FALSE))</f>
      </c>
      <c r="F50">
        <f>IF('INPUT_CP6'!D23="A",1/VLOOKUP('INPUT_CP6'!E23,$A$7:$D$15,2,FALSE),VLOOKUP('INPUT_CP6'!E23,$A$7:$D$15,4,FALSE))</f>
      </c>
      <c r="G50">
        <v>1</v>
      </c>
      <c r="H50">
        <f>IF('INPUT_CP6'!D25="A",VLOOKUP('INPUT_CP6'!E25,$A$7:$D$15,4,FALSE),1/VLOOKUP('INPUT_CP6'!E25,$A$7:$D$15,2,FALSE))</f>
      </c>
      <c r="I50">
        <f>SUM(B50:H50)</f>
      </c>
    </row>
    <row r="51">
      <c r="A51" t="str">
        <v>P7</v>
      </c>
      <c r="B51">
        <f>IF('INPUT_CP6'!D10="A",1/VLOOKUP('INPUT_CP6'!E10,$A$7:$D$15,2,FALSE),VLOOKUP('INPUT_CP6'!E10,$A$7:$D$15,4,FALSE))</f>
      </c>
      <c r="C51">
        <f>IF('INPUT_CP6'!D15="A",1/VLOOKUP('INPUT_CP6'!E15,$A$7:$D$15,2,FALSE),VLOOKUP('INPUT_CP6'!E15,$A$7:$D$15,4,FALSE))</f>
      </c>
      <c r="D51">
        <f>IF('INPUT_CP6'!D19="A",1/VLOOKUP('INPUT_CP6'!E19,$A$7:$D$15,2,FALSE),VLOOKUP('INPUT_CP6'!E19,$A$7:$D$15,4,FALSE))</f>
      </c>
      <c r="E51">
        <f>IF('INPUT_CP6'!D22="A",1/VLOOKUP('INPUT_CP6'!E22,$A$7:$D$15,2,FALSE),VLOOKUP('INPUT_CP6'!E22,$A$7:$D$15,4,FALSE))</f>
      </c>
      <c r="F51">
        <f>IF('INPUT_CP6'!D24="A",1/VLOOKUP('INPUT_CP6'!E24,$A$7:$D$15,2,FALSE),VLOOKUP('INPUT_CP6'!E24,$A$7:$D$15,4,FALSE))</f>
      </c>
      <c r="G51">
        <f>IF('INPUT_CP6'!D25="A",1/VLOOKUP('INPUT_CP6'!E25,$A$7:$D$15,2,FALSE),VLOOKUP('INPUT_CP6'!E25,$A$7:$D$15,4,FALSE))</f>
      </c>
      <c r="H51">
        <v>1</v>
      </c>
      <c r="I51">
        <f>SUM(B51:H51)</f>
      </c>
    </row>
    <row r="52">
      <c r="A52" t="str">
        <v>TOTAL</v>
      </c>
      <c r="I52">
        <f>SUM(I46:I52)</f>
      </c>
    </row>
  </sheetData>
  <ignoredErrors>
    <ignoredError numberStoredAsText="1" sqref="A1:K5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CP6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P1</v>
      </c>
      <c r="B7">
        <f>'FUZZY_CP6'!I21</f>
      </c>
      <c r="C7">
        <f>'FUZZY_CP6'!I34</f>
      </c>
      <c r="D7">
        <f>'FUZZY_CP6'!I46</f>
      </c>
      <c r="E7">
        <f>'FUZZY_CP6'!I28</f>
      </c>
      <c r="F7">
        <f>'FUZZY_CP6'!I40</f>
      </c>
      <c r="G7">
        <f>'FUZZY_CP6'!I52</f>
      </c>
      <c r="H7">
        <f>B7*(1/G7)</f>
      </c>
      <c r="I7">
        <f>C7*(1/F7)</f>
      </c>
      <c r="J7">
        <f>D7*(1/E7)</f>
      </c>
    </row>
    <row r="8">
      <c r="A8" t="str">
        <v>P2</v>
      </c>
      <c r="B8">
        <f>'FUZZY_CP6'!I22</f>
      </c>
      <c r="C8">
        <f>'FUZZY_CP6'!I35</f>
      </c>
      <c r="D8">
        <f>'FUZZY_CP6'!I47</f>
      </c>
      <c r="E8">
        <f>'FUZZY_CP6'!I28</f>
      </c>
      <c r="F8">
        <f>'FUZZY_CP6'!I40</f>
      </c>
      <c r="G8">
        <f>'FUZZY_CP6'!I52</f>
      </c>
      <c r="H8">
        <f>B8*(1/G8)</f>
      </c>
      <c r="I8">
        <f>C8*(1/F8)</f>
      </c>
      <c r="J8">
        <f>D8*(1/E8)</f>
      </c>
    </row>
    <row r="9">
      <c r="A9" t="str">
        <v>P3</v>
      </c>
      <c r="B9">
        <f>'FUZZY_CP6'!I23</f>
      </c>
      <c r="C9">
        <f>'FUZZY_CP6'!I36</f>
      </c>
      <c r="D9">
        <f>'FUZZY_CP6'!I48</f>
      </c>
      <c r="E9">
        <f>'FUZZY_CP6'!I28</f>
      </c>
      <c r="F9">
        <f>'FUZZY_CP6'!I40</f>
      </c>
      <c r="G9">
        <f>'FUZZY_CP6'!I52</f>
      </c>
      <c r="H9">
        <f>B9*(1/G9)</f>
      </c>
      <c r="I9">
        <f>C9*(1/F9)</f>
      </c>
      <c r="J9">
        <f>D9*(1/E9)</f>
      </c>
    </row>
    <row r="10">
      <c r="A10" t="str">
        <v>P4</v>
      </c>
      <c r="B10">
        <f>'FUZZY_CP6'!I24</f>
      </c>
      <c r="C10">
        <f>'FUZZY_CP6'!I37</f>
      </c>
      <c r="D10">
        <f>'FUZZY_CP6'!I49</f>
      </c>
      <c r="E10">
        <f>'FUZZY_CP6'!I28</f>
      </c>
      <c r="F10">
        <f>'FUZZY_CP6'!I40</f>
      </c>
      <c r="G10">
        <f>'FUZZY_CP6'!I52</f>
      </c>
      <c r="H10">
        <f>B10*(1/G10)</f>
      </c>
      <c r="I10">
        <f>C10*(1/F10)</f>
      </c>
      <c r="J10">
        <f>D10*(1/E10)</f>
      </c>
    </row>
    <row r="11">
      <c r="A11" t="str">
        <v>P5</v>
      </c>
      <c r="B11">
        <f>'FUZZY_CP6'!I25</f>
      </c>
      <c r="C11">
        <f>'FUZZY_CP6'!I38</f>
      </c>
      <c r="D11">
        <f>'FUZZY_CP6'!I50</f>
      </c>
      <c r="E11">
        <f>'FUZZY_CP6'!I28</f>
      </c>
      <c r="F11">
        <f>'FUZZY_CP6'!I40</f>
      </c>
      <c r="G11">
        <f>'FUZZY_CP6'!I52</f>
      </c>
      <c r="H11">
        <f>B11*(1/G11)</f>
      </c>
      <c r="I11">
        <f>C11*(1/F11)</f>
      </c>
      <c r="J11">
        <f>D11*(1/E11)</f>
      </c>
    </row>
    <row r="12">
      <c r="A12" t="str">
        <v>P6</v>
      </c>
      <c r="B12">
        <f>'FUZZY_CP6'!I26</f>
      </c>
      <c r="C12">
        <f>'FUZZY_CP6'!I39</f>
      </c>
      <c r="D12">
        <f>'FUZZY_CP6'!I51</f>
      </c>
      <c r="E12">
        <f>'FUZZY_CP6'!I28</f>
      </c>
      <c r="F12">
        <f>'FUZZY_CP6'!I40</f>
      </c>
      <c r="G12">
        <f>'FUZZY_CP6'!I52</f>
      </c>
      <c r="H12">
        <f>B12*(1/G12)</f>
      </c>
      <c r="I12">
        <f>C12*(1/F12)</f>
      </c>
      <c r="J12">
        <f>D12*(1/E12)</f>
      </c>
    </row>
    <row r="13">
      <c r="A13" t="str">
        <v>P7</v>
      </c>
      <c r="B13">
        <f>'FUZZY_CP6'!I27</f>
      </c>
      <c r="C13">
        <f>'FUZZY_CP6'!I40</f>
      </c>
      <c r="D13">
        <f>'FUZZY_CP6'!I52</f>
      </c>
      <c r="E13">
        <f>'FUZZY_CP6'!I28</f>
      </c>
      <c r="F13">
        <f>'FUZZY_CP6'!I40</f>
      </c>
      <c r="G13">
        <f>'FUZZY_CP6'!I52</f>
      </c>
      <c r="H13">
        <f>B13*(1/G13)</f>
      </c>
      <c r="I13">
        <f>C13*(1/F13)</f>
      </c>
      <c r="J13">
        <f>D13*(1/E13)</f>
      </c>
    </row>
    <row r="16">
      <c r="A16" t="str">
        <v>LANGKAH 2: Defuzzifikasi (Center of Area) + Normalisasi</v>
      </c>
    </row>
    <row r="17">
      <c r="A17" t="str">
        <v>Kriteria</v>
      </c>
      <c r="B17" t="str">
        <v>Si_l</v>
      </c>
      <c r="C17" t="str">
        <v>Si_m</v>
      </c>
      <c r="D17" t="str">
        <v>Si_u</v>
      </c>
      <c r="E17" t="str">
        <v>Defuzzy = (l+m+u)/3</v>
      </c>
      <c r="F17" t="str">
        <v>Bobot Normal</v>
      </c>
      <c r="G17" t="str">
        <v>Bobot %</v>
      </c>
      <c r="H17" t="str">
        <v>Ranking</v>
      </c>
    </row>
    <row r="18">
      <c r="A18" t="str">
        <v>P1</v>
      </c>
      <c r="B18">
        <f>H7</f>
      </c>
      <c r="C18">
        <f>I7</f>
      </c>
      <c r="D18">
        <f>J7</f>
      </c>
      <c r="E18">
        <f>(B18+C18+D18)/3</f>
      </c>
      <c r="F18">
        <f>E18/E25</f>
      </c>
      <c r="G18">
        <f>F18*100</f>
      </c>
      <c r="H18">
        <f>RANK(F18,F$18:F$24,0)</f>
      </c>
    </row>
    <row r="19">
      <c r="A19" t="str">
        <v>P2</v>
      </c>
      <c r="B19">
        <f>H8</f>
      </c>
      <c r="C19">
        <f>I8</f>
      </c>
      <c r="D19">
        <f>J8</f>
      </c>
      <c r="E19">
        <f>(B19+C19+D19)/3</f>
      </c>
      <c r="F19">
        <f>E19/E25</f>
      </c>
      <c r="G19">
        <f>F19*100</f>
      </c>
      <c r="H19">
        <f>RANK(F19,F$18:F$24,0)</f>
      </c>
    </row>
    <row r="20">
      <c r="A20" t="str">
        <v>P3</v>
      </c>
      <c r="B20">
        <f>H9</f>
      </c>
      <c r="C20">
        <f>I9</f>
      </c>
      <c r="D20">
        <f>J9</f>
      </c>
      <c r="E20">
        <f>(B20+C20+D20)/3</f>
      </c>
      <c r="F20">
        <f>E20/E25</f>
      </c>
      <c r="G20">
        <f>F20*100</f>
      </c>
      <c r="H20">
        <f>RANK(F20,F$18:F$24,0)</f>
      </c>
    </row>
    <row r="21">
      <c r="A21" t="str">
        <v>P4</v>
      </c>
      <c r="B21">
        <f>H10</f>
      </c>
      <c r="C21">
        <f>I10</f>
      </c>
      <c r="D21">
        <f>J10</f>
      </c>
      <c r="E21">
        <f>(B21+C21+D21)/3</f>
      </c>
      <c r="F21">
        <f>E21/E25</f>
      </c>
      <c r="G21">
        <f>F21*100</f>
      </c>
      <c r="H21">
        <f>RANK(F21,F$18:F$24,0)</f>
      </c>
    </row>
    <row r="22">
      <c r="A22" t="str">
        <v>P5</v>
      </c>
      <c r="B22">
        <f>H11</f>
      </c>
      <c r="C22">
        <f>I11</f>
      </c>
      <c r="D22">
        <f>J11</f>
      </c>
      <c r="E22">
        <f>(B22+C22+D22)/3</f>
      </c>
      <c r="F22">
        <f>E22/E25</f>
      </c>
      <c r="G22">
        <f>F22*100</f>
      </c>
      <c r="H22">
        <f>RANK(F22,F$18:F$24,0)</f>
      </c>
    </row>
    <row r="23">
      <c r="A23" t="str">
        <v>P6</v>
      </c>
      <c r="B23">
        <f>H12</f>
      </c>
      <c r="C23">
        <f>I12</f>
      </c>
      <c r="D23">
        <f>J12</f>
      </c>
      <c r="E23">
        <f>(B23+C23+D23)/3</f>
      </c>
      <c r="F23">
        <f>E23/E25</f>
      </c>
      <c r="G23">
        <f>F23*100</f>
      </c>
      <c r="H23">
        <f>RANK(F23,F$18:F$24,0)</f>
      </c>
    </row>
    <row r="24">
      <c r="A24" t="str">
        <v>P7</v>
      </c>
      <c r="B24">
        <f>H13</f>
      </c>
      <c r="C24">
        <f>I13</f>
      </c>
      <c r="D24">
        <f>J13</f>
      </c>
      <c r="E24">
        <f>(B24+C24+D24)/3</f>
      </c>
      <c r="F24">
        <f>E24/E25</f>
      </c>
      <c r="G24">
        <f>F24*100</f>
      </c>
      <c r="H24">
        <f>RANK(F24,F$18:F$24,0)</f>
      </c>
    </row>
    <row r="25">
      <c r="D25" t="str">
        <v>TOTAL</v>
      </c>
      <c r="E25">
        <f>SUM(E18:E24)</f>
      </c>
    </row>
  </sheetData>
  <ignoredErrors>
    <ignoredError numberStoredAsText="1" sqref="A1:K2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CP7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CS1</v>
      </c>
      <c r="C5" t="str">
        <v>CS2</v>
      </c>
      <c r="D5" t="str">
        <v>A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CS1</v>
      </c>
      <c r="C6" t="str">
        <v>CS3</v>
      </c>
      <c r="D6" t="str">
        <v>A</v>
      </c>
      <c r="E6">
        <v>2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CS1</v>
      </c>
      <c r="C7" t="str">
        <v>CS4</v>
      </c>
      <c r="D7" t="str">
        <v>A</v>
      </c>
      <c r="E7">
        <v>2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CS1</v>
      </c>
      <c r="C8" t="str">
        <v>CS5</v>
      </c>
      <c r="D8" t="str">
        <v>A</v>
      </c>
      <c r="E8">
        <v>2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CS1</v>
      </c>
      <c r="C9" t="str">
        <v>CS6</v>
      </c>
      <c r="D9" t="str">
        <v>A</v>
      </c>
      <c r="E9">
        <v>3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CS1</v>
      </c>
      <c r="C10" t="str">
        <v>CS7</v>
      </c>
      <c r="D10" t="str">
        <v>A</v>
      </c>
      <c r="E10">
        <v>4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CS2</v>
      </c>
      <c r="C11" t="str">
        <v>CS3</v>
      </c>
      <c r="D11" t="str">
        <v>A</v>
      </c>
      <c r="E11">
        <v>1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CS2</v>
      </c>
      <c r="C12" t="str">
        <v>CS4</v>
      </c>
      <c r="D12" t="str">
        <v>A</v>
      </c>
      <c r="E12">
        <v>1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CS2</v>
      </c>
      <c r="C13" t="str">
        <v>CS5</v>
      </c>
      <c r="D13" t="str">
        <v>A</v>
      </c>
      <c r="E13">
        <v>2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CS2</v>
      </c>
      <c r="C14" t="str">
        <v>CS6</v>
      </c>
      <c r="D14" t="str">
        <v>A</v>
      </c>
      <c r="E14">
        <v>2</v>
      </c>
      <c r="F14">
        <f>IF(E14=1,"Sama Penting",IF(E14=3,"Sedikit Lebih Penting",IF(E14=5,"Lebih Penting",IF(E14=7,"Sangat Lebih Penting",IF(E14=9,"Mutlak Lebih Penting","Nilai Antara")))))</f>
      </c>
    </row>
    <row r="15">
      <c r="A15">
        <v>11</v>
      </c>
      <c r="B15" t="str">
        <v>CS2</v>
      </c>
      <c r="C15" t="str">
        <v>CS7</v>
      </c>
      <c r="D15" t="str">
        <v>A</v>
      </c>
      <c r="E15">
        <v>3</v>
      </c>
      <c r="F15">
        <f>IF(E15=1,"Sama Penting",IF(E15=3,"Sedikit Lebih Penting",IF(E15=5,"Lebih Penting",IF(E15=7,"Sangat Lebih Penting",IF(E15=9,"Mutlak Lebih Penting","Nilai Antara")))))</f>
      </c>
    </row>
    <row r="16">
      <c r="A16">
        <v>12</v>
      </c>
      <c r="B16" t="str">
        <v>CS3</v>
      </c>
      <c r="C16" t="str">
        <v>CS4</v>
      </c>
      <c r="D16" t="str">
        <v>A</v>
      </c>
      <c r="E16">
        <v>1</v>
      </c>
      <c r="F16">
        <f>IF(E16=1,"Sama Penting",IF(E16=3,"Sedikit Lebih Penting",IF(E16=5,"Lebih Penting",IF(E16=7,"Sangat Lebih Penting",IF(E16=9,"Mutlak Lebih Penting","Nilai Antara")))))</f>
      </c>
    </row>
    <row r="17">
      <c r="A17">
        <v>13</v>
      </c>
      <c r="B17" t="str">
        <v>CS3</v>
      </c>
      <c r="C17" t="str">
        <v>CS5</v>
      </c>
      <c r="D17" t="str">
        <v>A</v>
      </c>
      <c r="E17">
        <v>1</v>
      </c>
      <c r="F17">
        <f>IF(E17=1,"Sama Penting",IF(E17=3,"Sedikit Lebih Penting",IF(E17=5,"Lebih Penting",IF(E17=7,"Sangat Lebih Penting",IF(E17=9,"Mutlak Lebih Penting","Nilai Antara")))))</f>
      </c>
    </row>
    <row r="18">
      <c r="A18">
        <v>14</v>
      </c>
      <c r="B18" t="str">
        <v>CS3</v>
      </c>
      <c r="C18" t="str">
        <v>CS6</v>
      </c>
      <c r="D18" t="str">
        <v>A</v>
      </c>
      <c r="E18">
        <v>2</v>
      </c>
      <c r="F18">
        <f>IF(E18=1,"Sama Penting",IF(E18=3,"Sedikit Lebih Penting",IF(E18=5,"Lebih Penting",IF(E18=7,"Sangat Lebih Penting",IF(E18=9,"Mutlak Lebih Penting","Nilai Antara")))))</f>
      </c>
    </row>
    <row r="19">
      <c r="A19">
        <v>15</v>
      </c>
      <c r="B19" t="str">
        <v>CS3</v>
      </c>
      <c r="C19" t="str">
        <v>CS7</v>
      </c>
      <c r="D19" t="str">
        <v>A</v>
      </c>
      <c r="E19">
        <v>2</v>
      </c>
      <c r="F19">
        <f>IF(E19=1,"Sama Penting",IF(E19=3,"Sedikit Lebih Penting",IF(E19=5,"Lebih Penting",IF(E19=7,"Sangat Lebih Penting",IF(E19=9,"Mutlak Lebih Penting","Nilai Antara")))))</f>
      </c>
    </row>
    <row r="20">
      <c r="A20">
        <v>16</v>
      </c>
      <c r="B20" t="str">
        <v>CS4</v>
      </c>
      <c r="C20" t="str">
        <v>CS5</v>
      </c>
      <c r="D20" t="str">
        <v>A</v>
      </c>
      <c r="E20">
        <v>1</v>
      </c>
      <c r="F20">
        <f>IF(E20=1,"Sama Penting",IF(E20=3,"Sedikit Lebih Penting",IF(E20=5,"Lebih Penting",IF(E20=7,"Sangat Lebih Penting",IF(E20=9,"Mutlak Lebih Penting","Nilai Antara")))))</f>
      </c>
    </row>
    <row r="21">
      <c r="A21">
        <v>17</v>
      </c>
      <c r="B21" t="str">
        <v>CS4</v>
      </c>
      <c r="C21" t="str">
        <v>CS6</v>
      </c>
      <c r="D21" t="str">
        <v>A</v>
      </c>
      <c r="E21">
        <v>2</v>
      </c>
      <c r="F21">
        <f>IF(E21=1,"Sama Penting",IF(E21=3,"Sedikit Lebih Penting",IF(E21=5,"Lebih Penting",IF(E21=7,"Sangat Lebih Penting",IF(E21=9,"Mutlak Lebih Penting","Nilai Antara")))))</f>
      </c>
    </row>
    <row r="22">
      <c r="A22">
        <v>18</v>
      </c>
      <c r="B22" t="str">
        <v>CS4</v>
      </c>
      <c r="C22" t="str">
        <v>CS7</v>
      </c>
      <c r="D22" t="str">
        <v>A</v>
      </c>
      <c r="E22">
        <v>2</v>
      </c>
      <c r="F22">
        <f>IF(E22=1,"Sama Penting",IF(E22=3,"Sedikit Lebih Penting",IF(E22=5,"Lebih Penting",IF(E22=7,"Sangat Lebih Penting",IF(E22=9,"Mutlak Lebih Penting","Nilai Antara")))))</f>
      </c>
    </row>
    <row r="23">
      <c r="A23">
        <v>19</v>
      </c>
      <c r="B23" t="str">
        <v>CS5</v>
      </c>
      <c r="C23" t="str">
        <v>CS6</v>
      </c>
      <c r="D23" t="str">
        <v>A</v>
      </c>
      <c r="E23">
        <v>1</v>
      </c>
      <c r="F23">
        <f>IF(E23=1,"Sama Penting",IF(E23=3,"Sedikit Lebih Penting",IF(E23=5,"Lebih Penting",IF(E23=7,"Sangat Lebih Penting",IF(E23=9,"Mutlak Lebih Penting","Nilai Antara")))))</f>
      </c>
    </row>
    <row r="24">
      <c r="A24">
        <v>20</v>
      </c>
      <c r="B24" t="str">
        <v>CS5</v>
      </c>
      <c r="C24" t="str">
        <v>CS7</v>
      </c>
      <c r="D24" t="str">
        <v>A</v>
      </c>
      <c r="E24">
        <v>1</v>
      </c>
      <c r="F24">
        <f>IF(E24=1,"Sama Penting",IF(E24=3,"Sedikit Lebih Penting",IF(E24=5,"Lebih Penting",IF(E24=7,"Sangat Lebih Penting",IF(E24=9,"Mutlak Lebih Penting","Nilai Antara")))))</f>
      </c>
    </row>
    <row r="25">
      <c r="A25">
        <v>21</v>
      </c>
      <c r="B25" t="str">
        <v>CS6</v>
      </c>
      <c r="C25" t="str">
        <v>CS7</v>
      </c>
      <c r="D25" t="str">
        <v>A</v>
      </c>
      <c r="E25">
        <v>1</v>
      </c>
      <c r="F25">
        <f>IF(E25=1,"Sama Penting",IF(E25=3,"Sedikit Lebih Penting",IF(E25=5,"Lebih Penting",IF(E25=7,"Sangat Lebih Penting",IF(E25=9,"Mutlak Lebih Penting","Nilai Antara")))))</f>
      </c>
    </row>
    <row r="28">
      <c r="A28" t="str">
        <v>Tabel Random Index (RI) — Saaty</v>
      </c>
    </row>
    <row r="29">
      <c r="A29" t="str">
        <v>n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</row>
    <row r="30">
      <c r="A30" t="str">
        <v>RI</v>
      </c>
      <c r="B30">
        <v>0</v>
      </c>
      <c r="C30">
        <v>0</v>
      </c>
      <c r="D30">
        <v>0.58</v>
      </c>
      <c r="E30">
        <v>0.9</v>
      </c>
      <c r="F30">
        <v>1.12</v>
      </c>
      <c r="G30">
        <v>1.24</v>
      </c>
      <c r="H30">
        <v>1.32</v>
      </c>
      <c r="I30">
        <v>1.41</v>
      </c>
      <c r="J30">
        <v>1.45</v>
      </c>
      <c r="K30">
        <v>1.49</v>
      </c>
    </row>
    <row r="32">
      <c r="A32" t="str">
        <v>Skala Saaty → TFN (Triangular Fuzzy Number)</v>
      </c>
    </row>
    <row r="33">
      <c r="A33" t="str">
        <v>Skala</v>
      </c>
      <c r="B33" t="str">
        <v>l</v>
      </c>
      <c r="C33" t="str">
        <v>m</v>
      </c>
      <c r="D33" t="str">
        <v>u</v>
      </c>
    </row>
    <row r="34">
      <c r="A34">
        <v>1</v>
      </c>
      <c r="B34">
        <v>1</v>
      </c>
      <c r="C34">
        <v>1</v>
      </c>
      <c r="D34">
        <v>1</v>
      </c>
    </row>
    <row r="35">
      <c r="A35">
        <v>2</v>
      </c>
      <c r="B35">
        <v>1</v>
      </c>
      <c r="C35">
        <v>2</v>
      </c>
      <c r="D35">
        <v>3</v>
      </c>
    </row>
    <row r="36">
      <c r="A36">
        <v>3</v>
      </c>
      <c r="B36">
        <v>1</v>
      </c>
      <c r="C36">
        <v>3</v>
      </c>
      <c r="D36">
        <v>5</v>
      </c>
    </row>
    <row r="37">
      <c r="A37">
        <v>4</v>
      </c>
      <c r="B37">
        <v>3</v>
      </c>
      <c r="C37">
        <v>4</v>
      </c>
      <c r="D37">
        <v>5</v>
      </c>
    </row>
    <row r="38">
      <c r="A38">
        <v>5</v>
      </c>
      <c r="B38">
        <v>3</v>
      </c>
      <c r="C38">
        <v>5</v>
      </c>
      <c r="D38">
        <v>7</v>
      </c>
    </row>
    <row r="39">
      <c r="A39">
        <v>6</v>
      </c>
      <c r="B39">
        <v>5</v>
      </c>
      <c r="C39">
        <v>6</v>
      </c>
      <c r="D39">
        <v>7</v>
      </c>
    </row>
    <row r="40">
      <c r="A40">
        <v>7</v>
      </c>
      <c r="B40">
        <v>5</v>
      </c>
      <c r="C40">
        <v>7</v>
      </c>
      <c r="D40">
        <v>9</v>
      </c>
    </row>
    <row r="41">
      <c r="A41">
        <v>8</v>
      </c>
      <c r="B41">
        <v>7</v>
      </c>
      <c r="C41">
        <v>8</v>
      </c>
      <c r="D41">
        <v>9</v>
      </c>
    </row>
    <row r="42">
      <c r="A42">
        <v>9</v>
      </c>
      <c r="B42">
        <v>7</v>
      </c>
      <c r="C42">
        <v>9</v>
      </c>
      <c r="D42">
        <v>9</v>
      </c>
    </row>
  </sheetData>
  <ignoredErrors>
    <ignoredError numberStoredAsText="1" sqref="A1:K44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MATRIKS PERBANDINGAN BERPASANGAN — Level 2 — Sub-Kriteria CP7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CS1</v>
      </c>
      <c r="C5" t="str">
        <v>CS2</v>
      </c>
      <c r="D5" t="str">
        <v>CS3</v>
      </c>
      <c r="E5" t="str">
        <v>CS4</v>
      </c>
      <c r="F5" t="str">
        <v>CS5</v>
      </c>
      <c r="G5" t="str">
        <v>CS6</v>
      </c>
      <c r="H5" t="str">
        <v>CS7</v>
      </c>
    </row>
    <row r="6">
      <c r="A6" t="str">
        <v>CS1</v>
      </c>
      <c r="B6">
        <v>1</v>
      </c>
      <c r="C6">
        <f>IF('INPUT_CP7'!D5="A",'INPUT_CP7'!E5,1/'INPUT_CP7'!E5)</f>
      </c>
      <c r="D6">
        <f>IF('INPUT_CP7'!D6="A",'INPUT_CP7'!E6,1/'INPUT_CP7'!E6)</f>
      </c>
      <c r="E6">
        <f>IF('INPUT_CP7'!D7="A",'INPUT_CP7'!E7,1/'INPUT_CP7'!E7)</f>
      </c>
      <c r="F6">
        <f>IF('INPUT_CP7'!D8="A",'INPUT_CP7'!E8,1/'INPUT_CP7'!E8)</f>
      </c>
      <c r="G6">
        <f>IF('INPUT_CP7'!D9="A",'INPUT_CP7'!E9,1/'INPUT_CP7'!E9)</f>
      </c>
      <c r="H6">
        <f>IF('INPUT_CP7'!D10="A",'INPUT_CP7'!E10,1/'INPUT_CP7'!E10)</f>
      </c>
    </row>
    <row r="7">
      <c r="A7" t="str">
        <v>CS2</v>
      </c>
      <c r="B7">
        <f>1/C6</f>
      </c>
      <c r="C7">
        <v>1</v>
      </c>
      <c r="D7">
        <f>IF('INPUT_CP7'!D11="A",'INPUT_CP7'!E11,1/'INPUT_CP7'!E11)</f>
      </c>
      <c r="E7">
        <f>IF('INPUT_CP7'!D12="A",'INPUT_CP7'!E12,1/'INPUT_CP7'!E12)</f>
      </c>
      <c r="F7">
        <f>IF('INPUT_CP7'!D13="A",'INPUT_CP7'!E13,1/'INPUT_CP7'!E13)</f>
      </c>
      <c r="G7">
        <f>IF('INPUT_CP7'!D14="A",'INPUT_CP7'!E14,1/'INPUT_CP7'!E14)</f>
      </c>
      <c r="H7">
        <f>IF('INPUT_CP7'!D15="A",'INPUT_CP7'!E15,1/'INPUT_CP7'!E15)</f>
      </c>
    </row>
    <row r="8">
      <c r="A8" t="str">
        <v>CS3</v>
      </c>
      <c r="B8">
        <f>1/D6</f>
      </c>
      <c r="C8">
        <f>1/D7</f>
      </c>
      <c r="D8">
        <v>1</v>
      </c>
      <c r="E8">
        <f>IF('INPUT_CP7'!D16="A",'INPUT_CP7'!E16,1/'INPUT_CP7'!E16)</f>
      </c>
      <c r="F8">
        <f>IF('INPUT_CP7'!D17="A",'INPUT_CP7'!E17,1/'INPUT_CP7'!E17)</f>
      </c>
      <c r="G8">
        <f>IF('INPUT_CP7'!D18="A",'INPUT_CP7'!E18,1/'INPUT_CP7'!E18)</f>
      </c>
      <c r="H8">
        <f>IF('INPUT_CP7'!D19="A",'INPUT_CP7'!E19,1/'INPUT_CP7'!E19)</f>
      </c>
    </row>
    <row r="9">
      <c r="A9" t="str">
        <v>CS4</v>
      </c>
      <c r="B9">
        <f>1/E6</f>
      </c>
      <c r="C9">
        <f>1/E7</f>
      </c>
      <c r="D9">
        <f>1/E8</f>
      </c>
      <c r="E9">
        <v>1</v>
      </c>
      <c r="F9">
        <f>IF('INPUT_CP7'!D20="A",'INPUT_CP7'!E20,1/'INPUT_CP7'!E20)</f>
      </c>
      <c r="G9">
        <f>IF('INPUT_CP7'!D21="A",'INPUT_CP7'!E21,1/'INPUT_CP7'!E21)</f>
      </c>
      <c r="H9">
        <f>IF('INPUT_CP7'!D22="A",'INPUT_CP7'!E22,1/'INPUT_CP7'!E22)</f>
      </c>
    </row>
    <row r="10">
      <c r="A10" t="str">
        <v>CS5</v>
      </c>
      <c r="B10">
        <f>1/F6</f>
      </c>
      <c r="C10">
        <f>1/F7</f>
      </c>
      <c r="D10">
        <f>1/F8</f>
      </c>
      <c r="E10">
        <f>1/F9</f>
      </c>
      <c r="F10">
        <v>1</v>
      </c>
      <c r="G10">
        <f>IF('INPUT_CP7'!D23="A",'INPUT_CP7'!E23,1/'INPUT_CP7'!E23)</f>
      </c>
      <c r="H10">
        <f>IF('INPUT_CP7'!D24="A",'INPUT_CP7'!E24,1/'INPUT_CP7'!E24)</f>
      </c>
    </row>
    <row r="11">
      <c r="A11" t="str">
        <v>CS6</v>
      </c>
      <c r="B11">
        <f>1/G6</f>
      </c>
      <c r="C11">
        <f>1/G7</f>
      </c>
      <c r="D11">
        <f>1/G8</f>
      </c>
      <c r="E11">
        <f>1/G9</f>
      </c>
      <c r="F11">
        <f>1/G10</f>
      </c>
      <c r="G11">
        <v>1</v>
      </c>
      <c r="H11">
        <f>IF('INPUT_CP7'!D25="A",'INPUT_CP7'!E25,1/'INPUT_CP7'!E25)</f>
      </c>
    </row>
    <row r="12">
      <c r="A12" t="str">
        <v>CS7</v>
      </c>
      <c r="B12">
        <f>1/H6</f>
      </c>
      <c r="C12">
        <f>1/H7</f>
      </c>
      <c r="D12">
        <f>1/H8</f>
      </c>
      <c r="E12">
        <f>1/H9</f>
      </c>
      <c r="F12">
        <f>1/H10</f>
      </c>
      <c r="G12">
        <f>1/H11</f>
      </c>
      <c r="H12">
        <v>1</v>
      </c>
    </row>
    <row r="14">
      <c r="A14" t="str">
        <v>Jumlah Kolom</v>
      </c>
      <c r="B14">
        <f>SUM(B7:B13)</f>
      </c>
      <c r="C14">
        <f>SUM(C7:C13)</f>
      </c>
      <c r="D14">
        <f>SUM(D7:D13)</f>
      </c>
      <c r="E14">
        <f>SUM(E7:E13)</f>
      </c>
      <c r="F14">
        <f>SUM(F7:F13)</f>
      </c>
      <c r="G14">
        <f>SUM(G7:G13)</f>
      </c>
      <c r="H14">
        <f>SUM(H7:H13)</f>
      </c>
    </row>
  </sheetData>
  <ignoredErrors>
    <ignoredError numberStoredAsText="1" sqref="A1:I16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</cols>
  <sheetData>
    <row r="1">
      <c r="A1" t="str">
        <v>NORMALISASI &amp; BOBOT PRIORITAS — Level 2 — Sub-Kriteria CP7</v>
      </c>
    </row>
    <row r="2">
      <c r="A2" t="str">
        <v>Normalisasi kolom: setiap sel dibagi jumlah kolomnya</v>
      </c>
    </row>
    <row r="4">
      <c r="A4" t="str">
        <v/>
      </c>
      <c r="B4" t="str">
        <v>CS1</v>
      </c>
      <c r="C4" t="str">
        <v>CS2</v>
      </c>
      <c r="D4" t="str">
        <v>CS3</v>
      </c>
      <c r="E4" t="str">
        <v>CS4</v>
      </c>
      <c r="F4" t="str">
        <v>CS5</v>
      </c>
      <c r="G4" t="str">
        <v>CS6</v>
      </c>
      <c r="H4" t="str">
        <v>CS7</v>
      </c>
      <c r="I4" t="str">
        <v>Rata-rata (Bobot)</v>
      </c>
    </row>
    <row r="5">
      <c r="A5" t="str">
        <v>CS1</v>
      </c>
      <c r="B5">
        <f>'MATRIKS_CP7'!B6/'MATRIKS_CP7'!B14</f>
      </c>
      <c r="C5">
        <f>'MATRIKS_CP7'!C6/'MATRIKS_CP7'!C14</f>
      </c>
      <c r="D5">
        <f>'MATRIKS_CP7'!D6/'MATRIKS_CP7'!D14</f>
      </c>
      <c r="E5">
        <f>'MATRIKS_CP7'!E6/'MATRIKS_CP7'!E14</f>
      </c>
      <c r="F5">
        <f>'MATRIKS_CP7'!F6/'MATRIKS_CP7'!F14</f>
      </c>
      <c r="G5">
        <f>'MATRIKS_CP7'!G6/'MATRIKS_CP7'!G14</f>
      </c>
      <c r="H5">
        <f>'MATRIKS_CP7'!H6/'MATRIKS_CP7'!H14</f>
      </c>
      <c r="I5">
        <f>AVERAGE(B5:H5)</f>
      </c>
    </row>
    <row r="6">
      <c r="A6" t="str">
        <v>CS2</v>
      </c>
      <c r="B6">
        <f>'MATRIKS_CP7'!B7/'MATRIKS_CP7'!B14</f>
      </c>
      <c r="C6">
        <f>'MATRIKS_CP7'!C7/'MATRIKS_CP7'!C14</f>
      </c>
      <c r="D6">
        <f>'MATRIKS_CP7'!D7/'MATRIKS_CP7'!D14</f>
      </c>
      <c r="E6">
        <f>'MATRIKS_CP7'!E7/'MATRIKS_CP7'!E14</f>
      </c>
      <c r="F6">
        <f>'MATRIKS_CP7'!F7/'MATRIKS_CP7'!F14</f>
      </c>
      <c r="G6">
        <f>'MATRIKS_CP7'!G7/'MATRIKS_CP7'!G14</f>
      </c>
      <c r="H6">
        <f>'MATRIKS_CP7'!H7/'MATRIKS_CP7'!H14</f>
      </c>
      <c r="I6">
        <f>AVERAGE(B6:H6)</f>
      </c>
    </row>
    <row r="7">
      <c r="A7" t="str">
        <v>CS3</v>
      </c>
      <c r="B7">
        <f>'MATRIKS_CP7'!B8/'MATRIKS_CP7'!B14</f>
      </c>
      <c r="C7">
        <f>'MATRIKS_CP7'!C8/'MATRIKS_CP7'!C14</f>
      </c>
      <c r="D7">
        <f>'MATRIKS_CP7'!D8/'MATRIKS_CP7'!D14</f>
      </c>
      <c r="E7">
        <f>'MATRIKS_CP7'!E8/'MATRIKS_CP7'!E14</f>
      </c>
      <c r="F7">
        <f>'MATRIKS_CP7'!F8/'MATRIKS_CP7'!F14</f>
      </c>
      <c r="G7">
        <f>'MATRIKS_CP7'!G8/'MATRIKS_CP7'!G14</f>
      </c>
      <c r="H7">
        <f>'MATRIKS_CP7'!H8/'MATRIKS_CP7'!H14</f>
      </c>
      <c r="I7">
        <f>AVERAGE(B7:H7)</f>
      </c>
    </row>
    <row r="8">
      <c r="A8" t="str">
        <v>CS4</v>
      </c>
      <c r="B8">
        <f>'MATRIKS_CP7'!B9/'MATRIKS_CP7'!B14</f>
      </c>
      <c r="C8">
        <f>'MATRIKS_CP7'!C9/'MATRIKS_CP7'!C14</f>
      </c>
      <c r="D8">
        <f>'MATRIKS_CP7'!D9/'MATRIKS_CP7'!D14</f>
      </c>
      <c r="E8">
        <f>'MATRIKS_CP7'!E9/'MATRIKS_CP7'!E14</f>
      </c>
      <c r="F8">
        <f>'MATRIKS_CP7'!F9/'MATRIKS_CP7'!F14</f>
      </c>
      <c r="G8">
        <f>'MATRIKS_CP7'!G9/'MATRIKS_CP7'!G14</f>
      </c>
      <c r="H8">
        <f>'MATRIKS_CP7'!H9/'MATRIKS_CP7'!H14</f>
      </c>
      <c r="I8">
        <f>AVERAGE(B8:H8)</f>
      </c>
    </row>
    <row r="9">
      <c r="A9" t="str">
        <v>CS5</v>
      </c>
      <c r="B9">
        <f>'MATRIKS_CP7'!B10/'MATRIKS_CP7'!B14</f>
      </c>
      <c r="C9">
        <f>'MATRIKS_CP7'!C10/'MATRIKS_CP7'!C14</f>
      </c>
      <c r="D9">
        <f>'MATRIKS_CP7'!D10/'MATRIKS_CP7'!D14</f>
      </c>
      <c r="E9">
        <f>'MATRIKS_CP7'!E10/'MATRIKS_CP7'!E14</f>
      </c>
      <c r="F9">
        <f>'MATRIKS_CP7'!F10/'MATRIKS_CP7'!F14</f>
      </c>
      <c r="G9">
        <f>'MATRIKS_CP7'!G10/'MATRIKS_CP7'!G14</f>
      </c>
      <c r="H9">
        <f>'MATRIKS_CP7'!H10/'MATRIKS_CP7'!H14</f>
      </c>
      <c r="I9">
        <f>AVERAGE(B9:H9)</f>
      </c>
    </row>
    <row r="10">
      <c r="A10" t="str">
        <v>CS6</v>
      </c>
      <c r="B10">
        <f>'MATRIKS_CP7'!B11/'MATRIKS_CP7'!B14</f>
      </c>
      <c r="C10">
        <f>'MATRIKS_CP7'!C11/'MATRIKS_CP7'!C14</f>
      </c>
      <c r="D10">
        <f>'MATRIKS_CP7'!D11/'MATRIKS_CP7'!D14</f>
      </c>
      <c r="E10">
        <f>'MATRIKS_CP7'!E11/'MATRIKS_CP7'!E14</f>
      </c>
      <c r="F10">
        <f>'MATRIKS_CP7'!F11/'MATRIKS_CP7'!F14</f>
      </c>
      <c r="G10">
        <f>'MATRIKS_CP7'!G11/'MATRIKS_CP7'!G14</f>
      </c>
      <c r="H10">
        <f>'MATRIKS_CP7'!H11/'MATRIKS_CP7'!H14</f>
      </c>
      <c r="I10">
        <f>AVERAGE(B10:H10)</f>
      </c>
    </row>
    <row r="11">
      <c r="A11" t="str">
        <v>CS7</v>
      </c>
      <c r="B11">
        <f>'MATRIKS_CP7'!B12/'MATRIKS_CP7'!B14</f>
      </c>
      <c r="C11">
        <f>'MATRIKS_CP7'!C12/'MATRIKS_CP7'!C14</f>
      </c>
      <c r="D11">
        <f>'MATRIKS_CP7'!D12/'MATRIKS_CP7'!D14</f>
      </c>
      <c r="E11">
        <f>'MATRIKS_CP7'!E12/'MATRIKS_CP7'!E14</f>
      </c>
      <c r="F11">
        <f>'MATRIKS_CP7'!F12/'MATRIKS_CP7'!F14</f>
      </c>
      <c r="G11">
        <f>'MATRIKS_CP7'!G12/'MATRIKS_CP7'!G14</f>
      </c>
      <c r="H11">
        <f>'MATRIKS_CP7'!H12/'MATRIKS_CP7'!H14</f>
      </c>
      <c r="I11">
        <f>AVERAGE(B11:H11)</f>
      </c>
    </row>
    <row r="13">
      <c r="H13" t="str">
        <v>Total</v>
      </c>
      <c r="I13">
        <f>SUM(I5:I11)</f>
      </c>
    </row>
  </sheetData>
  <ignoredErrors>
    <ignoredError numberStoredAsText="1" sqref="A1:J15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CP7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CS1</v>
      </c>
      <c r="B6">
        <f>'NORM_CP7'!I5</f>
      </c>
      <c r="C6">
        <f>SUMPRODUCT('MATRIKS_CP7'!B6:'MATRIKS_CP7'!H6,$B6:$B12)</f>
      </c>
      <c r="D6">
        <f>C6/B6</f>
      </c>
    </row>
    <row r="7">
      <c r="A7" t="str">
        <v>CS2</v>
      </c>
      <c r="B7">
        <f>'NORM_CP7'!I6</f>
      </c>
      <c r="C7">
        <f>SUMPRODUCT('MATRIKS_CP7'!B7:'MATRIKS_CP7'!H7,$B6:$B12)</f>
      </c>
      <c r="D7">
        <f>C7/B7</f>
      </c>
    </row>
    <row r="8">
      <c r="A8" t="str">
        <v>CS3</v>
      </c>
      <c r="B8">
        <f>'NORM_CP7'!I7</f>
      </c>
      <c r="C8">
        <f>SUMPRODUCT('MATRIKS_CP7'!B8:'MATRIKS_CP7'!H8,$B6:$B12)</f>
      </c>
      <c r="D8">
        <f>C8/B8</f>
      </c>
    </row>
    <row r="9">
      <c r="A9" t="str">
        <v>CS4</v>
      </c>
      <c r="B9">
        <f>'NORM_CP7'!I8</f>
      </c>
      <c r="C9">
        <f>SUMPRODUCT('MATRIKS_CP7'!B9:'MATRIKS_CP7'!H9,$B6:$B12)</f>
      </c>
      <c r="D9">
        <f>C9/B9</f>
      </c>
    </row>
    <row r="10">
      <c r="A10" t="str">
        <v>CS5</v>
      </c>
      <c r="B10">
        <f>'NORM_CP7'!I9</f>
      </c>
      <c r="C10">
        <f>SUMPRODUCT('MATRIKS_CP7'!B10:'MATRIKS_CP7'!H10,$B6:$B12)</f>
      </c>
      <c r="D10">
        <f>C10/B10</f>
      </c>
    </row>
    <row r="11">
      <c r="A11" t="str">
        <v>CS6</v>
      </c>
      <c r="B11">
        <f>'NORM_CP7'!I10</f>
      </c>
      <c r="C11">
        <f>SUMPRODUCT('MATRIKS_CP7'!B11:'MATRIKS_CP7'!H11,$B6:$B12)</f>
      </c>
      <c r="D11">
        <f>C11/B11</f>
      </c>
    </row>
    <row r="12">
      <c r="A12" t="str">
        <v>CS7</v>
      </c>
      <c r="B12">
        <f>'NORM_CP7'!I11</f>
      </c>
      <c r="C12">
        <f>SUMPRODUCT('MATRIKS_CP7'!B12:'MATRIKS_CP7'!H12,$B6:$B12)</f>
      </c>
      <c r="D12">
        <f>C12/B12</f>
      </c>
    </row>
    <row r="15">
      <c r="A15" t="str">
        <v>LANGKAH 2: Perhitungan λmax, CI, CR</v>
      </c>
    </row>
    <row r="16">
      <c r="A16" t="str">
        <v>n (jumlah kriteria)</v>
      </c>
      <c r="B16">
        <v>7</v>
      </c>
    </row>
    <row r="17">
      <c r="A17" t="str">
        <v>λmax</v>
      </c>
      <c r="B17">
        <f>AVERAGE(D6:D12)</f>
      </c>
    </row>
    <row r="18">
      <c r="A18" t="str">
        <v>CI (Consistency Index)</v>
      </c>
      <c r="B18">
        <f>(B17-B16)/(B16-1)</f>
      </c>
    </row>
    <row r="19">
      <c r="A19" t="str">
        <v>RI (Random Index)</v>
      </c>
      <c r="B19">
        <v>1.32</v>
      </c>
    </row>
    <row r="20">
      <c r="A20" t="str">
        <v>CR (Consistency Ratio)</v>
      </c>
      <c r="B20">
        <f>B18/B19</f>
      </c>
    </row>
    <row r="22">
      <c r="A22" t="str">
        <v>KESIMPULAN</v>
      </c>
      <c r="B22">
        <f>IF(B20&lt;0.1,"KONSISTEN ✓ (CR &lt; 0.10)","TIDAK KONSISTEN ✗ (CR ≥ 0.10, perlu revisi)")</f>
      </c>
    </row>
    <row r="24">
      <c r="A24" t="str">
        <v>Catatan:</v>
      </c>
    </row>
    <row r="25">
      <c r="A25" t="str">
        <v>• CR &lt; 0.10 → Matriks dianggap konsisten</v>
      </c>
    </row>
    <row r="26">
      <c r="A26" t="str">
        <v>• CR ≥ 0.10 → Matriks TIDAK konsisten, perlu revisi penilaian</v>
      </c>
    </row>
    <row r="27">
      <c r="A27" t="str">
        <v>• λmax ideal ≈ n (jumlah kriteria)</v>
      </c>
    </row>
  </sheetData>
  <ignoredErrors>
    <ignoredError numberStoredAsText="1" sqref="A1:E2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MATRIKS TFN FUZZY — Level 2 — Sub-Kriteria CP7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CS1</v>
      </c>
      <c r="C19" t="str">
        <v>CS2</v>
      </c>
      <c r="D19" t="str">
        <v>CS3</v>
      </c>
      <c r="E19" t="str">
        <v>CS4</v>
      </c>
      <c r="F19" t="str">
        <v>CS5</v>
      </c>
      <c r="G19" t="str">
        <v>CS6</v>
      </c>
      <c r="H19" t="str">
        <v>CS7</v>
      </c>
    </row>
    <row r="20">
      <c r="A20" t="str">
        <v>CS1</v>
      </c>
      <c r="B20">
        <v>1</v>
      </c>
      <c r="C20">
        <f>IF('INPUT_CP7'!D5="A",VLOOKUP('INPUT_CP7'!E5,$A$7:$D$15,2,FALSE),1/VLOOKUP('INPUT_CP7'!E5,$A$7:$D$15,4,FALSE))</f>
      </c>
      <c r="D20">
        <f>IF('INPUT_CP7'!D6="A",VLOOKUP('INPUT_CP7'!E6,$A$7:$D$15,2,FALSE),1/VLOOKUP('INPUT_CP7'!E6,$A$7:$D$15,4,FALSE))</f>
      </c>
      <c r="E20">
        <f>IF('INPUT_CP7'!D7="A",VLOOKUP('INPUT_CP7'!E7,$A$7:$D$15,2,FALSE),1/VLOOKUP('INPUT_CP7'!E7,$A$7:$D$15,4,FALSE))</f>
      </c>
      <c r="F20">
        <f>IF('INPUT_CP7'!D8="A",VLOOKUP('INPUT_CP7'!E8,$A$7:$D$15,2,FALSE),1/VLOOKUP('INPUT_CP7'!E8,$A$7:$D$15,4,FALSE))</f>
      </c>
      <c r="G20">
        <f>IF('INPUT_CP7'!D9="A",VLOOKUP('INPUT_CP7'!E9,$A$7:$D$15,2,FALSE),1/VLOOKUP('INPUT_CP7'!E9,$A$7:$D$15,4,FALSE))</f>
      </c>
      <c r="H20">
        <f>IF('INPUT_CP7'!D10="A",VLOOKUP('INPUT_CP7'!E10,$A$7:$D$15,2,FALSE),1/VLOOKUP('INPUT_CP7'!E10,$A$7:$D$15,4,FALSE))</f>
      </c>
      <c r="I20" t="str">
        <v>Σ Baris</v>
      </c>
    </row>
    <row r="21">
      <c r="A21" t="str">
        <v>CS2</v>
      </c>
      <c r="B21">
        <f>IF('INPUT_CP7'!D5="A",1/VLOOKUP('INPUT_CP7'!E5,$A$7:$D$15,4,FALSE),VLOOKUP('INPUT_CP7'!E5,$A$7:$D$15,2,FALSE))</f>
      </c>
      <c r="C21">
        <v>1</v>
      </c>
      <c r="D21">
        <f>IF('INPUT_CP7'!D11="A",VLOOKUP('INPUT_CP7'!E11,$A$7:$D$15,2,FALSE),1/VLOOKUP('INPUT_CP7'!E11,$A$7:$D$15,4,FALSE))</f>
      </c>
      <c r="E21">
        <f>IF('INPUT_CP7'!D12="A",VLOOKUP('INPUT_CP7'!E12,$A$7:$D$15,2,FALSE),1/VLOOKUP('INPUT_CP7'!E12,$A$7:$D$15,4,FALSE))</f>
      </c>
      <c r="F21">
        <f>IF('INPUT_CP7'!D13="A",VLOOKUP('INPUT_CP7'!E13,$A$7:$D$15,2,FALSE),1/VLOOKUP('INPUT_CP7'!E13,$A$7:$D$15,4,FALSE))</f>
      </c>
      <c r="G21">
        <f>IF('INPUT_CP7'!D14="A",VLOOKUP('INPUT_CP7'!E14,$A$7:$D$15,2,FALSE),1/VLOOKUP('INPUT_CP7'!E14,$A$7:$D$15,4,FALSE))</f>
      </c>
      <c r="H21">
        <f>IF('INPUT_CP7'!D15="A",VLOOKUP('INPUT_CP7'!E15,$A$7:$D$15,2,FALSE),1/VLOOKUP('INPUT_CP7'!E15,$A$7:$D$15,4,FALSE))</f>
      </c>
      <c r="I21">
        <f>SUM(B21:H21)</f>
      </c>
    </row>
    <row r="22">
      <c r="A22" t="str">
        <v>CS3</v>
      </c>
      <c r="B22">
        <f>IF('INPUT_CP7'!D6="A",1/VLOOKUP('INPUT_CP7'!E6,$A$7:$D$15,4,FALSE),VLOOKUP('INPUT_CP7'!E6,$A$7:$D$15,2,FALSE))</f>
      </c>
      <c r="C22">
        <f>IF('INPUT_CP7'!D11="A",1/VLOOKUP('INPUT_CP7'!E11,$A$7:$D$15,4,FALSE),VLOOKUP('INPUT_CP7'!E11,$A$7:$D$15,2,FALSE))</f>
      </c>
      <c r="D22">
        <v>1</v>
      </c>
      <c r="E22">
        <f>IF('INPUT_CP7'!D16="A",VLOOKUP('INPUT_CP7'!E16,$A$7:$D$15,2,FALSE),1/VLOOKUP('INPUT_CP7'!E16,$A$7:$D$15,4,FALSE))</f>
      </c>
      <c r="F22">
        <f>IF('INPUT_CP7'!D17="A",VLOOKUP('INPUT_CP7'!E17,$A$7:$D$15,2,FALSE),1/VLOOKUP('INPUT_CP7'!E17,$A$7:$D$15,4,FALSE))</f>
      </c>
      <c r="G22">
        <f>IF('INPUT_CP7'!D18="A",VLOOKUP('INPUT_CP7'!E18,$A$7:$D$15,2,FALSE),1/VLOOKUP('INPUT_CP7'!E18,$A$7:$D$15,4,FALSE))</f>
      </c>
      <c r="H22">
        <f>IF('INPUT_CP7'!D19="A",VLOOKUP('INPUT_CP7'!E19,$A$7:$D$15,2,FALSE),1/VLOOKUP('INPUT_CP7'!E19,$A$7:$D$15,4,FALSE))</f>
      </c>
      <c r="I22">
        <f>SUM(B22:H22)</f>
      </c>
    </row>
    <row r="23">
      <c r="A23" t="str">
        <v>CS4</v>
      </c>
      <c r="B23">
        <f>IF('INPUT_CP7'!D7="A",1/VLOOKUP('INPUT_CP7'!E7,$A$7:$D$15,4,FALSE),VLOOKUP('INPUT_CP7'!E7,$A$7:$D$15,2,FALSE))</f>
      </c>
      <c r="C23">
        <f>IF('INPUT_CP7'!D12="A",1/VLOOKUP('INPUT_CP7'!E12,$A$7:$D$15,4,FALSE),VLOOKUP('INPUT_CP7'!E12,$A$7:$D$15,2,FALSE))</f>
      </c>
      <c r="D23">
        <f>IF('INPUT_CP7'!D16="A",1/VLOOKUP('INPUT_CP7'!E16,$A$7:$D$15,4,FALSE),VLOOKUP('INPUT_CP7'!E16,$A$7:$D$15,2,FALSE))</f>
      </c>
      <c r="E23">
        <v>1</v>
      </c>
      <c r="F23">
        <f>IF('INPUT_CP7'!D20="A",VLOOKUP('INPUT_CP7'!E20,$A$7:$D$15,2,FALSE),1/VLOOKUP('INPUT_CP7'!E20,$A$7:$D$15,4,FALSE))</f>
      </c>
      <c r="G23">
        <f>IF('INPUT_CP7'!D21="A",VLOOKUP('INPUT_CP7'!E21,$A$7:$D$15,2,FALSE),1/VLOOKUP('INPUT_CP7'!E21,$A$7:$D$15,4,FALSE))</f>
      </c>
      <c r="H23">
        <f>IF('INPUT_CP7'!D22="A",VLOOKUP('INPUT_CP7'!E22,$A$7:$D$15,2,FALSE),1/VLOOKUP('INPUT_CP7'!E22,$A$7:$D$15,4,FALSE))</f>
      </c>
      <c r="I23">
        <f>SUM(B23:H23)</f>
      </c>
    </row>
    <row r="24">
      <c r="A24" t="str">
        <v>CS5</v>
      </c>
      <c r="B24">
        <f>IF('INPUT_CP7'!D8="A",1/VLOOKUP('INPUT_CP7'!E8,$A$7:$D$15,4,FALSE),VLOOKUP('INPUT_CP7'!E8,$A$7:$D$15,2,FALSE))</f>
      </c>
      <c r="C24">
        <f>IF('INPUT_CP7'!D13="A",1/VLOOKUP('INPUT_CP7'!E13,$A$7:$D$15,4,FALSE),VLOOKUP('INPUT_CP7'!E13,$A$7:$D$15,2,FALSE))</f>
      </c>
      <c r="D24">
        <f>IF('INPUT_CP7'!D17="A",1/VLOOKUP('INPUT_CP7'!E17,$A$7:$D$15,4,FALSE),VLOOKUP('INPUT_CP7'!E17,$A$7:$D$15,2,FALSE))</f>
      </c>
      <c r="E24">
        <f>IF('INPUT_CP7'!D20="A",1/VLOOKUP('INPUT_CP7'!E20,$A$7:$D$15,4,FALSE),VLOOKUP('INPUT_CP7'!E20,$A$7:$D$15,2,FALSE))</f>
      </c>
      <c r="F24">
        <v>1</v>
      </c>
      <c r="G24">
        <f>IF('INPUT_CP7'!D23="A",VLOOKUP('INPUT_CP7'!E23,$A$7:$D$15,2,FALSE),1/VLOOKUP('INPUT_CP7'!E23,$A$7:$D$15,4,FALSE))</f>
      </c>
      <c r="H24">
        <f>IF('INPUT_CP7'!D24="A",VLOOKUP('INPUT_CP7'!E24,$A$7:$D$15,2,FALSE),1/VLOOKUP('INPUT_CP7'!E24,$A$7:$D$15,4,FALSE))</f>
      </c>
      <c r="I24">
        <f>SUM(B24:H24)</f>
      </c>
    </row>
    <row r="25">
      <c r="A25" t="str">
        <v>CS6</v>
      </c>
      <c r="B25">
        <f>IF('INPUT_CP7'!D9="A",1/VLOOKUP('INPUT_CP7'!E9,$A$7:$D$15,4,FALSE),VLOOKUP('INPUT_CP7'!E9,$A$7:$D$15,2,FALSE))</f>
      </c>
      <c r="C25">
        <f>IF('INPUT_CP7'!D14="A",1/VLOOKUP('INPUT_CP7'!E14,$A$7:$D$15,4,FALSE),VLOOKUP('INPUT_CP7'!E14,$A$7:$D$15,2,FALSE))</f>
      </c>
      <c r="D25">
        <f>IF('INPUT_CP7'!D18="A",1/VLOOKUP('INPUT_CP7'!E18,$A$7:$D$15,4,FALSE),VLOOKUP('INPUT_CP7'!E18,$A$7:$D$15,2,FALSE))</f>
      </c>
      <c r="E25">
        <f>IF('INPUT_CP7'!D21="A",1/VLOOKUP('INPUT_CP7'!E21,$A$7:$D$15,4,FALSE),VLOOKUP('INPUT_CP7'!E21,$A$7:$D$15,2,FALSE))</f>
      </c>
      <c r="F25">
        <f>IF('INPUT_CP7'!D23="A",1/VLOOKUP('INPUT_CP7'!E23,$A$7:$D$15,4,FALSE),VLOOKUP('INPUT_CP7'!E23,$A$7:$D$15,2,FALSE))</f>
      </c>
      <c r="G25">
        <v>1</v>
      </c>
      <c r="H25">
        <f>IF('INPUT_CP7'!D25="A",VLOOKUP('INPUT_CP7'!E25,$A$7:$D$15,2,FALSE),1/VLOOKUP('INPUT_CP7'!E25,$A$7:$D$15,4,FALSE))</f>
      </c>
      <c r="I25">
        <f>SUM(B25:H25)</f>
      </c>
    </row>
    <row r="26">
      <c r="A26" t="str">
        <v>CS7</v>
      </c>
      <c r="B26">
        <f>IF('INPUT_CP7'!D10="A",1/VLOOKUP('INPUT_CP7'!E10,$A$7:$D$15,4,FALSE),VLOOKUP('INPUT_CP7'!E10,$A$7:$D$15,2,FALSE))</f>
      </c>
      <c r="C26">
        <f>IF('INPUT_CP7'!D15="A",1/VLOOKUP('INPUT_CP7'!E15,$A$7:$D$15,4,FALSE),VLOOKUP('INPUT_CP7'!E15,$A$7:$D$15,2,FALSE))</f>
      </c>
      <c r="D26">
        <f>IF('INPUT_CP7'!D19="A",1/VLOOKUP('INPUT_CP7'!E19,$A$7:$D$15,4,FALSE),VLOOKUP('INPUT_CP7'!E19,$A$7:$D$15,2,FALSE))</f>
      </c>
      <c r="E26">
        <f>IF('INPUT_CP7'!D22="A",1/VLOOKUP('INPUT_CP7'!E22,$A$7:$D$15,4,FALSE),VLOOKUP('INPUT_CP7'!E22,$A$7:$D$15,2,FALSE))</f>
      </c>
      <c r="F26">
        <f>IF('INPUT_CP7'!D24="A",1/VLOOKUP('INPUT_CP7'!E24,$A$7:$D$15,4,FALSE),VLOOKUP('INPUT_CP7'!E24,$A$7:$D$15,2,FALSE))</f>
      </c>
      <c r="G26">
        <f>IF('INPUT_CP7'!D25="A",1/VLOOKUP('INPUT_CP7'!E25,$A$7:$D$15,4,FALSE),VLOOKUP('INPUT_CP7'!E25,$A$7:$D$15,2,FALSE))</f>
      </c>
      <c r="H26">
        <v>1</v>
      </c>
      <c r="I26">
        <f>SUM(B26:H26)</f>
      </c>
    </row>
    <row r="27">
      <c r="I27">
        <f>SUM(B27:H27)</f>
      </c>
    </row>
    <row r="28">
      <c r="A28" t="str">
        <v>TOTAL</v>
      </c>
      <c r="I28">
        <f>SUM(I21:I27)</f>
      </c>
    </row>
    <row r="29">
      <c r="I29">
        <f>SUM(B22:H22)</f>
      </c>
    </row>
    <row r="30">
      <c r="I30">
        <f>SUM(B23:H23)</f>
      </c>
    </row>
    <row r="31">
      <c r="A31" t="str">
        <v>MATRIKS TFN — Komponen m (Middle)</v>
      </c>
      <c r="I31">
        <f>SUM(B24:H24)</f>
      </c>
    </row>
    <row r="32">
      <c r="A32" t="str">
        <v/>
      </c>
      <c r="B32" t="str">
        <v>CS1</v>
      </c>
      <c r="C32" t="str">
        <v>CS2</v>
      </c>
      <c r="D32" t="str">
        <v>CS3</v>
      </c>
      <c r="E32" t="str">
        <v>CS4</v>
      </c>
      <c r="F32" t="str">
        <v>CS5</v>
      </c>
      <c r="G32" t="str">
        <v>CS6</v>
      </c>
      <c r="H32" t="str">
        <v>CS7</v>
      </c>
      <c r="I32" t="str">
        <v>Σ Baris</v>
      </c>
    </row>
    <row r="33">
      <c r="A33" t="str">
        <v>CS1</v>
      </c>
      <c r="B33">
        <v>1</v>
      </c>
      <c r="C33">
        <f>IF('INPUT_CP7'!D5="A",VLOOKUP('INPUT_CP7'!E5,$A$7:$D$15,3,FALSE),1/VLOOKUP('INPUT_CP7'!E5,$A$7:$D$15,3,FALSE))</f>
      </c>
      <c r="D33">
        <f>IF('INPUT_CP7'!D6="A",VLOOKUP('INPUT_CP7'!E6,$A$7:$D$15,3,FALSE),1/VLOOKUP('INPUT_CP7'!E6,$A$7:$D$15,3,FALSE))</f>
      </c>
      <c r="E33">
        <f>IF('INPUT_CP7'!D7="A",VLOOKUP('INPUT_CP7'!E7,$A$7:$D$15,3,FALSE),1/VLOOKUP('INPUT_CP7'!E7,$A$7:$D$15,3,FALSE))</f>
      </c>
      <c r="F33">
        <f>IF('INPUT_CP7'!D8="A",VLOOKUP('INPUT_CP7'!E8,$A$7:$D$15,3,FALSE),1/VLOOKUP('INPUT_CP7'!E8,$A$7:$D$15,3,FALSE))</f>
      </c>
      <c r="G33">
        <f>IF('INPUT_CP7'!D9="A",VLOOKUP('INPUT_CP7'!E9,$A$7:$D$15,3,FALSE),1/VLOOKUP('INPUT_CP7'!E9,$A$7:$D$15,3,FALSE))</f>
      </c>
      <c r="H33">
        <f>IF('INPUT_CP7'!D10="A",VLOOKUP('INPUT_CP7'!E10,$A$7:$D$15,3,FALSE),1/VLOOKUP('INPUT_CP7'!E10,$A$7:$D$15,3,FALSE))</f>
      </c>
      <c r="I33">
        <f>SUM(B33:H33)</f>
      </c>
    </row>
    <row r="34">
      <c r="A34" t="str">
        <v>CS2</v>
      </c>
      <c r="B34">
        <f>IF('INPUT_CP7'!D5="A",1/VLOOKUP('INPUT_CP7'!E5,$A$7:$D$15,3,FALSE),VLOOKUP('INPUT_CP7'!E5,$A$7:$D$15,3,FALSE))</f>
      </c>
      <c r="C34">
        <v>1</v>
      </c>
      <c r="D34">
        <f>IF('INPUT_CP7'!D11="A",VLOOKUP('INPUT_CP7'!E11,$A$7:$D$15,3,FALSE),1/VLOOKUP('INPUT_CP7'!E11,$A$7:$D$15,3,FALSE))</f>
      </c>
      <c r="E34">
        <f>IF('INPUT_CP7'!D12="A",VLOOKUP('INPUT_CP7'!E12,$A$7:$D$15,3,FALSE),1/VLOOKUP('INPUT_CP7'!E12,$A$7:$D$15,3,FALSE))</f>
      </c>
      <c r="F34">
        <f>IF('INPUT_CP7'!D13="A",VLOOKUP('INPUT_CP7'!E13,$A$7:$D$15,3,FALSE),1/VLOOKUP('INPUT_CP7'!E13,$A$7:$D$15,3,FALSE))</f>
      </c>
      <c r="G34">
        <f>IF('INPUT_CP7'!D14="A",VLOOKUP('INPUT_CP7'!E14,$A$7:$D$15,3,FALSE),1/VLOOKUP('INPUT_CP7'!E14,$A$7:$D$15,3,FALSE))</f>
      </c>
      <c r="H34">
        <f>IF('INPUT_CP7'!D15="A",VLOOKUP('INPUT_CP7'!E15,$A$7:$D$15,3,FALSE),1/VLOOKUP('INPUT_CP7'!E15,$A$7:$D$15,3,FALSE))</f>
      </c>
      <c r="I34">
        <f>SUM(B34:H34)</f>
      </c>
    </row>
    <row r="35">
      <c r="A35" t="str">
        <v>CS3</v>
      </c>
      <c r="B35">
        <f>IF('INPUT_CP7'!D6="A",1/VLOOKUP('INPUT_CP7'!E6,$A$7:$D$15,3,FALSE),VLOOKUP('INPUT_CP7'!E6,$A$7:$D$15,3,FALSE))</f>
      </c>
      <c r="C35">
        <f>IF('INPUT_CP7'!D11="A",1/VLOOKUP('INPUT_CP7'!E11,$A$7:$D$15,3,FALSE),VLOOKUP('INPUT_CP7'!E11,$A$7:$D$15,3,FALSE))</f>
      </c>
      <c r="D35">
        <v>1</v>
      </c>
      <c r="E35">
        <f>IF('INPUT_CP7'!D16="A",VLOOKUP('INPUT_CP7'!E16,$A$7:$D$15,3,FALSE),1/VLOOKUP('INPUT_CP7'!E16,$A$7:$D$15,3,FALSE))</f>
      </c>
      <c r="F35">
        <f>IF('INPUT_CP7'!D17="A",VLOOKUP('INPUT_CP7'!E17,$A$7:$D$15,3,FALSE),1/VLOOKUP('INPUT_CP7'!E17,$A$7:$D$15,3,FALSE))</f>
      </c>
      <c r="G35">
        <f>IF('INPUT_CP7'!D18="A",VLOOKUP('INPUT_CP7'!E18,$A$7:$D$15,3,FALSE),1/VLOOKUP('INPUT_CP7'!E18,$A$7:$D$15,3,FALSE))</f>
      </c>
      <c r="H35">
        <f>IF('INPUT_CP7'!D19="A",VLOOKUP('INPUT_CP7'!E19,$A$7:$D$15,3,FALSE),1/VLOOKUP('INPUT_CP7'!E19,$A$7:$D$15,3,FALSE))</f>
      </c>
      <c r="I35">
        <f>SUM(B35:H35)</f>
      </c>
    </row>
    <row r="36">
      <c r="A36" t="str">
        <v>CS4</v>
      </c>
      <c r="B36">
        <f>IF('INPUT_CP7'!D7="A",1/VLOOKUP('INPUT_CP7'!E7,$A$7:$D$15,3,FALSE),VLOOKUP('INPUT_CP7'!E7,$A$7:$D$15,3,FALSE))</f>
      </c>
      <c r="C36">
        <f>IF('INPUT_CP7'!D12="A",1/VLOOKUP('INPUT_CP7'!E12,$A$7:$D$15,3,FALSE),VLOOKUP('INPUT_CP7'!E12,$A$7:$D$15,3,FALSE))</f>
      </c>
      <c r="D36">
        <f>IF('INPUT_CP7'!D16="A",1/VLOOKUP('INPUT_CP7'!E16,$A$7:$D$15,3,FALSE),VLOOKUP('INPUT_CP7'!E16,$A$7:$D$15,3,FALSE))</f>
      </c>
      <c r="E36">
        <v>1</v>
      </c>
      <c r="F36">
        <f>IF('INPUT_CP7'!D20="A",VLOOKUP('INPUT_CP7'!E20,$A$7:$D$15,3,FALSE),1/VLOOKUP('INPUT_CP7'!E20,$A$7:$D$15,3,FALSE))</f>
      </c>
      <c r="G36">
        <f>IF('INPUT_CP7'!D21="A",VLOOKUP('INPUT_CP7'!E21,$A$7:$D$15,3,FALSE),1/VLOOKUP('INPUT_CP7'!E21,$A$7:$D$15,3,FALSE))</f>
      </c>
      <c r="H36">
        <f>IF('INPUT_CP7'!D22="A",VLOOKUP('INPUT_CP7'!E22,$A$7:$D$15,3,FALSE),1/VLOOKUP('INPUT_CP7'!E22,$A$7:$D$15,3,FALSE))</f>
      </c>
      <c r="I36">
        <f>SUM(B36:H36)</f>
      </c>
    </row>
    <row r="37">
      <c r="A37" t="str">
        <v>CS5</v>
      </c>
      <c r="B37">
        <f>IF('INPUT_CP7'!D8="A",1/VLOOKUP('INPUT_CP7'!E8,$A$7:$D$15,3,FALSE),VLOOKUP('INPUT_CP7'!E8,$A$7:$D$15,3,FALSE))</f>
      </c>
      <c r="C37">
        <f>IF('INPUT_CP7'!D13="A",1/VLOOKUP('INPUT_CP7'!E13,$A$7:$D$15,3,FALSE),VLOOKUP('INPUT_CP7'!E13,$A$7:$D$15,3,FALSE))</f>
      </c>
      <c r="D37">
        <f>IF('INPUT_CP7'!D17="A",1/VLOOKUP('INPUT_CP7'!E17,$A$7:$D$15,3,FALSE),VLOOKUP('INPUT_CP7'!E17,$A$7:$D$15,3,FALSE))</f>
      </c>
      <c r="E37">
        <f>IF('INPUT_CP7'!D20="A",1/VLOOKUP('INPUT_CP7'!E20,$A$7:$D$15,3,FALSE),VLOOKUP('INPUT_CP7'!E20,$A$7:$D$15,3,FALSE))</f>
      </c>
      <c r="F37">
        <v>1</v>
      </c>
      <c r="G37">
        <f>IF('INPUT_CP7'!D23="A",VLOOKUP('INPUT_CP7'!E23,$A$7:$D$15,3,FALSE),1/VLOOKUP('INPUT_CP7'!E23,$A$7:$D$15,3,FALSE))</f>
      </c>
      <c r="H37">
        <f>IF('INPUT_CP7'!D24="A",VLOOKUP('INPUT_CP7'!E24,$A$7:$D$15,3,FALSE),1/VLOOKUP('INPUT_CP7'!E24,$A$7:$D$15,3,FALSE))</f>
      </c>
      <c r="I37">
        <f>SUM(B37:H37)</f>
      </c>
    </row>
    <row r="38">
      <c r="A38" t="str">
        <v>CS6</v>
      </c>
      <c r="B38">
        <f>IF('INPUT_CP7'!D9="A",1/VLOOKUP('INPUT_CP7'!E9,$A$7:$D$15,3,FALSE),VLOOKUP('INPUT_CP7'!E9,$A$7:$D$15,3,FALSE))</f>
      </c>
      <c r="C38">
        <f>IF('INPUT_CP7'!D14="A",1/VLOOKUP('INPUT_CP7'!E14,$A$7:$D$15,3,FALSE),VLOOKUP('INPUT_CP7'!E14,$A$7:$D$15,3,FALSE))</f>
      </c>
      <c r="D38">
        <f>IF('INPUT_CP7'!D18="A",1/VLOOKUP('INPUT_CP7'!E18,$A$7:$D$15,3,FALSE),VLOOKUP('INPUT_CP7'!E18,$A$7:$D$15,3,FALSE))</f>
      </c>
      <c r="E38">
        <f>IF('INPUT_CP7'!D21="A",1/VLOOKUP('INPUT_CP7'!E21,$A$7:$D$15,3,FALSE),VLOOKUP('INPUT_CP7'!E21,$A$7:$D$15,3,FALSE))</f>
      </c>
      <c r="F38">
        <f>IF('INPUT_CP7'!D23="A",1/VLOOKUP('INPUT_CP7'!E23,$A$7:$D$15,3,FALSE),VLOOKUP('INPUT_CP7'!E23,$A$7:$D$15,3,FALSE))</f>
      </c>
      <c r="G38">
        <v>1</v>
      </c>
      <c r="H38">
        <f>IF('INPUT_CP7'!D25="A",VLOOKUP('INPUT_CP7'!E25,$A$7:$D$15,3,FALSE),1/VLOOKUP('INPUT_CP7'!E25,$A$7:$D$15,3,FALSE))</f>
      </c>
      <c r="I38">
        <f>SUM(B38:H38)</f>
      </c>
    </row>
    <row r="39">
      <c r="A39" t="str">
        <v>CS7</v>
      </c>
      <c r="B39">
        <f>IF('INPUT_CP7'!D10="A",1/VLOOKUP('INPUT_CP7'!E10,$A$7:$D$15,3,FALSE),VLOOKUP('INPUT_CP7'!E10,$A$7:$D$15,3,FALSE))</f>
      </c>
      <c r="C39">
        <f>IF('INPUT_CP7'!D15="A",1/VLOOKUP('INPUT_CP7'!E15,$A$7:$D$15,3,FALSE),VLOOKUP('INPUT_CP7'!E15,$A$7:$D$15,3,FALSE))</f>
      </c>
      <c r="D39">
        <f>IF('INPUT_CP7'!D19="A",1/VLOOKUP('INPUT_CP7'!E19,$A$7:$D$15,3,FALSE),VLOOKUP('INPUT_CP7'!E19,$A$7:$D$15,3,FALSE))</f>
      </c>
      <c r="E39">
        <f>IF('INPUT_CP7'!D22="A",1/VLOOKUP('INPUT_CP7'!E22,$A$7:$D$15,3,FALSE),VLOOKUP('INPUT_CP7'!E22,$A$7:$D$15,3,FALSE))</f>
      </c>
      <c r="F39">
        <f>IF('INPUT_CP7'!D24="A",1/VLOOKUP('INPUT_CP7'!E24,$A$7:$D$15,3,FALSE),VLOOKUP('INPUT_CP7'!E24,$A$7:$D$15,3,FALSE))</f>
      </c>
      <c r="G39">
        <f>IF('INPUT_CP7'!D25="A",1/VLOOKUP('INPUT_CP7'!E25,$A$7:$D$15,3,FALSE),VLOOKUP('INPUT_CP7'!E25,$A$7:$D$15,3,FALSE))</f>
      </c>
      <c r="H39">
        <v>1</v>
      </c>
      <c r="I39">
        <f>SUM(B39:H39)</f>
      </c>
    </row>
    <row r="40">
      <c r="A40" t="str">
        <v>TOTAL</v>
      </c>
      <c r="I40">
        <f>SUM(I34:I40)</f>
      </c>
    </row>
    <row r="43">
      <c r="A43" t="str">
        <v>MATRIKS TFN — Komponen u (Upper)</v>
      </c>
    </row>
    <row r="44">
      <c r="A44" t="str">
        <v/>
      </c>
      <c r="B44" t="str">
        <v>CS1</v>
      </c>
      <c r="C44" t="str">
        <v>CS2</v>
      </c>
      <c r="D44" t="str">
        <v>CS3</v>
      </c>
      <c r="E44" t="str">
        <v>CS4</v>
      </c>
      <c r="F44" t="str">
        <v>CS5</v>
      </c>
      <c r="G44" t="str">
        <v>CS6</v>
      </c>
      <c r="H44" t="str">
        <v>CS7</v>
      </c>
      <c r="I44" t="str">
        <v>Σ Baris</v>
      </c>
    </row>
    <row r="45">
      <c r="A45" t="str">
        <v>CS1</v>
      </c>
      <c r="B45">
        <v>1</v>
      </c>
      <c r="C45">
        <f>IF('INPUT_CP7'!D5="A",VLOOKUP('INPUT_CP7'!E5,$A$7:$D$15,4,FALSE),1/VLOOKUP('INPUT_CP7'!E5,$A$7:$D$15,2,FALSE))</f>
      </c>
      <c r="D45">
        <f>IF('INPUT_CP7'!D6="A",VLOOKUP('INPUT_CP7'!E6,$A$7:$D$15,4,FALSE),1/VLOOKUP('INPUT_CP7'!E6,$A$7:$D$15,2,FALSE))</f>
      </c>
      <c r="E45">
        <f>IF('INPUT_CP7'!D7="A",VLOOKUP('INPUT_CP7'!E7,$A$7:$D$15,4,FALSE),1/VLOOKUP('INPUT_CP7'!E7,$A$7:$D$15,2,FALSE))</f>
      </c>
      <c r="F45">
        <f>IF('INPUT_CP7'!D8="A",VLOOKUP('INPUT_CP7'!E8,$A$7:$D$15,4,FALSE),1/VLOOKUP('INPUT_CP7'!E8,$A$7:$D$15,2,FALSE))</f>
      </c>
      <c r="G45">
        <f>IF('INPUT_CP7'!D9="A",VLOOKUP('INPUT_CP7'!E9,$A$7:$D$15,4,FALSE),1/VLOOKUP('INPUT_CP7'!E9,$A$7:$D$15,2,FALSE))</f>
      </c>
      <c r="H45">
        <f>IF('INPUT_CP7'!D10="A",VLOOKUP('INPUT_CP7'!E10,$A$7:$D$15,4,FALSE),1/VLOOKUP('INPUT_CP7'!E10,$A$7:$D$15,2,FALSE))</f>
      </c>
      <c r="I45">
        <f>SUM(B45:H45)</f>
      </c>
    </row>
    <row r="46">
      <c r="A46" t="str">
        <v>CS2</v>
      </c>
      <c r="B46">
        <f>IF('INPUT_CP7'!D5="A",1/VLOOKUP('INPUT_CP7'!E5,$A$7:$D$15,2,FALSE),VLOOKUP('INPUT_CP7'!E5,$A$7:$D$15,4,FALSE))</f>
      </c>
      <c r="C46">
        <v>1</v>
      </c>
      <c r="D46">
        <f>IF('INPUT_CP7'!D11="A",VLOOKUP('INPUT_CP7'!E11,$A$7:$D$15,4,FALSE),1/VLOOKUP('INPUT_CP7'!E11,$A$7:$D$15,2,FALSE))</f>
      </c>
      <c r="E46">
        <f>IF('INPUT_CP7'!D12="A",VLOOKUP('INPUT_CP7'!E12,$A$7:$D$15,4,FALSE),1/VLOOKUP('INPUT_CP7'!E12,$A$7:$D$15,2,FALSE))</f>
      </c>
      <c r="F46">
        <f>IF('INPUT_CP7'!D13="A",VLOOKUP('INPUT_CP7'!E13,$A$7:$D$15,4,FALSE),1/VLOOKUP('INPUT_CP7'!E13,$A$7:$D$15,2,FALSE))</f>
      </c>
      <c r="G46">
        <f>IF('INPUT_CP7'!D14="A",VLOOKUP('INPUT_CP7'!E14,$A$7:$D$15,4,FALSE),1/VLOOKUP('INPUT_CP7'!E14,$A$7:$D$15,2,FALSE))</f>
      </c>
      <c r="H46">
        <f>IF('INPUT_CP7'!D15="A",VLOOKUP('INPUT_CP7'!E15,$A$7:$D$15,4,FALSE),1/VLOOKUP('INPUT_CP7'!E15,$A$7:$D$15,2,FALSE))</f>
      </c>
      <c r="I46">
        <f>SUM(B46:H46)</f>
      </c>
    </row>
    <row r="47">
      <c r="A47" t="str">
        <v>CS3</v>
      </c>
      <c r="B47">
        <f>IF('INPUT_CP7'!D6="A",1/VLOOKUP('INPUT_CP7'!E6,$A$7:$D$15,2,FALSE),VLOOKUP('INPUT_CP7'!E6,$A$7:$D$15,4,FALSE))</f>
      </c>
      <c r="C47">
        <f>IF('INPUT_CP7'!D11="A",1/VLOOKUP('INPUT_CP7'!E11,$A$7:$D$15,2,FALSE),VLOOKUP('INPUT_CP7'!E11,$A$7:$D$15,4,FALSE))</f>
      </c>
      <c r="D47">
        <v>1</v>
      </c>
      <c r="E47">
        <f>IF('INPUT_CP7'!D16="A",VLOOKUP('INPUT_CP7'!E16,$A$7:$D$15,4,FALSE),1/VLOOKUP('INPUT_CP7'!E16,$A$7:$D$15,2,FALSE))</f>
      </c>
      <c r="F47">
        <f>IF('INPUT_CP7'!D17="A",VLOOKUP('INPUT_CP7'!E17,$A$7:$D$15,4,FALSE),1/VLOOKUP('INPUT_CP7'!E17,$A$7:$D$15,2,FALSE))</f>
      </c>
      <c r="G47">
        <f>IF('INPUT_CP7'!D18="A",VLOOKUP('INPUT_CP7'!E18,$A$7:$D$15,4,FALSE),1/VLOOKUP('INPUT_CP7'!E18,$A$7:$D$15,2,FALSE))</f>
      </c>
      <c r="H47">
        <f>IF('INPUT_CP7'!D19="A",VLOOKUP('INPUT_CP7'!E19,$A$7:$D$15,4,FALSE),1/VLOOKUP('INPUT_CP7'!E19,$A$7:$D$15,2,FALSE))</f>
      </c>
      <c r="I47">
        <f>SUM(B47:H47)</f>
      </c>
    </row>
    <row r="48">
      <c r="A48" t="str">
        <v>CS4</v>
      </c>
      <c r="B48">
        <f>IF('INPUT_CP7'!D7="A",1/VLOOKUP('INPUT_CP7'!E7,$A$7:$D$15,2,FALSE),VLOOKUP('INPUT_CP7'!E7,$A$7:$D$15,4,FALSE))</f>
      </c>
      <c r="C48">
        <f>IF('INPUT_CP7'!D12="A",1/VLOOKUP('INPUT_CP7'!E12,$A$7:$D$15,2,FALSE),VLOOKUP('INPUT_CP7'!E12,$A$7:$D$15,4,FALSE))</f>
      </c>
      <c r="D48">
        <f>IF('INPUT_CP7'!D16="A",1/VLOOKUP('INPUT_CP7'!E16,$A$7:$D$15,2,FALSE),VLOOKUP('INPUT_CP7'!E16,$A$7:$D$15,4,FALSE))</f>
      </c>
      <c r="E48">
        <v>1</v>
      </c>
      <c r="F48">
        <f>IF('INPUT_CP7'!D20="A",VLOOKUP('INPUT_CP7'!E20,$A$7:$D$15,4,FALSE),1/VLOOKUP('INPUT_CP7'!E20,$A$7:$D$15,2,FALSE))</f>
      </c>
      <c r="G48">
        <f>IF('INPUT_CP7'!D21="A",VLOOKUP('INPUT_CP7'!E21,$A$7:$D$15,4,FALSE),1/VLOOKUP('INPUT_CP7'!E21,$A$7:$D$15,2,FALSE))</f>
      </c>
      <c r="H48">
        <f>IF('INPUT_CP7'!D22="A",VLOOKUP('INPUT_CP7'!E22,$A$7:$D$15,4,FALSE),1/VLOOKUP('INPUT_CP7'!E22,$A$7:$D$15,2,FALSE))</f>
      </c>
      <c r="I48">
        <f>SUM(B48:H48)</f>
      </c>
    </row>
    <row r="49">
      <c r="A49" t="str">
        <v>CS5</v>
      </c>
      <c r="B49">
        <f>IF('INPUT_CP7'!D8="A",1/VLOOKUP('INPUT_CP7'!E8,$A$7:$D$15,2,FALSE),VLOOKUP('INPUT_CP7'!E8,$A$7:$D$15,4,FALSE))</f>
      </c>
      <c r="C49">
        <f>IF('INPUT_CP7'!D13="A",1/VLOOKUP('INPUT_CP7'!E13,$A$7:$D$15,2,FALSE),VLOOKUP('INPUT_CP7'!E13,$A$7:$D$15,4,FALSE))</f>
      </c>
      <c r="D49">
        <f>IF('INPUT_CP7'!D17="A",1/VLOOKUP('INPUT_CP7'!E17,$A$7:$D$15,2,FALSE),VLOOKUP('INPUT_CP7'!E17,$A$7:$D$15,4,FALSE))</f>
      </c>
      <c r="E49">
        <f>IF('INPUT_CP7'!D20="A",1/VLOOKUP('INPUT_CP7'!E20,$A$7:$D$15,2,FALSE),VLOOKUP('INPUT_CP7'!E20,$A$7:$D$15,4,FALSE))</f>
      </c>
      <c r="F49">
        <v>1</v>
      </c>
      <c r="G49">
        <f>IF('INPUT_CP7'!D23="A",VLOOKUP('INPUT_CP7'!E23,$A$7:$D$15,4,FALSE),1/VLOOKUP('INPUT_CP7'!E23,$A$7:$D$15,2,FALSE))</f>
      </c>
      <c r="H49">
        <f>IF('INPUT_CP7'!D24="A",VLOOKUP('INPUT_CP7'!E24,$A$7:$D$15,4,FALSE),1/VLOOKUP('INPUT_CP7'!E24,$A$7:$D$15,2,FALSE))</f>
      </c>
      <c r="I49">
        <f>SUM(B49:H49)</f>
      </c>
    </row>
    <row r="50">
      <c r="A50" t="str">
        <v>CS6</v>
      </c>
      <c r="B50">
        <f>IF('INPUT_CP7'!D9="A",1/VLOOKUP('INPUT_CP7'!E9,$A$7:$D$15,2,FALSE),VLOOKUP('INPUT_CP7'!E9,$A$7:$D$15,4,FALSE))</f>
      </c>
      <c r="C50">
        <f>IF('INPUT_CP7'!D14="A",1/VLOOKUP('INPUT_CP7'!E14,$A$7:$D$15,2,FALSE),VLOOKUP('INPUT_CP7'!E14,$A$7:$D$15,4,FALSE))</f>
      </c>
      <c r="D50">
        <f>IF('INPUT_CP7'!D18="A",1/VLOOKUP('INPUT_CP7'!E18,$A$7:$D$15,2,FALSE),VLOOKUP('INPUT_CP7'!E18,$A$7:$D$15,4,FALSE))</f>
      </c>
      <c r="E50">
        <f>IF('INPUT_CP7'!D21="A",1/VLOOKUP('INPUT_CP7'!E21,$A$7:$D$15,2,FALSE),VLOOKUP('INPUT_CP7'!E21,$A$7:$D$15,4,FALSE))</f>
      </c>
      <c r="F50">
        <f>IF('INPUT_CP7'!D23="A",1/VLOOKUP('INPUT_CP7'!E23,$A$7:$D$15,2,FALSE),VLOOKUP('INPUT_CP7'!E23,$A$7:$D$15,4,FALSE))</f>
      </c>
      <c r="G50">
        <v>1</v>
      </c>
      <c r="H50">
        <f>IF('INPUT_CP7'!D25="A",VLOOKUP('INPUT_CP7'!E25,$A$7:$D$15,4,FALSE),1/VLOOKUP('INPUT_CP7'!E25,$A$7:$D$15,2,FALSE))</f>
      </c>
      <c r="I50">
        <f>SUM(B50:H50)</f>
      </c>
    </row>
    <row r="51">
      <c r="A51" t="str">
        <v>CS7</v>
      </c>
      <c r="B51">
        <f>IF('INPUT_CP7'!D10="A",1/VLOOKUP('INPUT_CP7'!E10,$A$7:$D$15,2,FALSE),VLOOKUP('INPUT_CP7'!E10,$A$7:$D$15,4,FALSE))</f>
      </c>
      <c r="C51">
        <f>IF('INPUT_CP7'!D15="A",1/VLOOKUP('INPUT_CP7'!E15,$A$7:$D$15,2,FALSE),VLOOKUP('INPUT_CP7'!E15,$A$7:$D$15,4,FALSE))</f>
      </c>
      <c r="D51">
        <f>IF('INPUT_CP7'!D19="A",1/VLOOKUP('INPUT_CP7'!E19,$A$7:$D$15,2,FALSE),VLOOKUP('INPUT_CP7'!E19,$A$7:$D$15,4,FALSE))</f>
      </c>
      <c r="E51">
        <f>IF('INPUT_CP7'!D22="A",1/VLOOKUP('INPUT_CP7'!E22,$A$7:$D$15,2,FALSE),VLOOKUP('INPUT_CP7'!E22,$A$7:$D$15,4,FALSE))</f>
      </c>
      <c r="F51">
        <f>IF('INPUT_CP7'!D24="A",1/VLOOKUP('INPUT_CP7'!E24,$A$7:$D$15,2,FALSE),VLOOKUP('INPUT_CP7'!E24,$A$7:$D$15,4,FALSE))</f>
      </c>
      <c r="G51">
        <f>IF('INPUT_CP7'!D25="A",1/VLOOKUP('INPUT_CP7'!E25,$A$7:$D$15,2,FALSE),VLOOKUP('INPUT_CP7'!E25,$A$7:$D$15,4,FALSE))</f>
      </c>
      <c r="H51">
        <v>1</v>
      </c>
      <c r="I51">
        <f>SUM(B51:H51)</f>
      </c>
    </row>
    <row r="52">
      <c r="A52" t="str">
        <v>TOTAL</v>
      </c>
      <c r="I52">
        <f>SUM(I46:I52)</f>
      </c>
    </row>
  </sheetData>
  <ignoredErrors>
    <ignoredError numberStoredAsText="1" sqref="A1:K54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CP7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CS1</v>
      </c>
      <c r="B7">
        <f>'FUZZY_CP7'!I21</f>
      </c>
      <c r="C7">
        <f>'FUZZY_CP7'!I34</f>
      </c>
      <c r="D7">
        <f>'FUZZY_CP7'!I46</f>
      </c>
      <c r="E7">
        <f>'FUZZY_CP7'!I28</f>
      </c>
      <c r="F7">
        <f>'FUZZY_CP7'!I40</f>
      </c>
      <c r="G7">
        <f>'FUZZY_CP7'!I52</f>
      </c>
      <c r="H7">
        <f>B7*(1/G7)</f>
      </c>
      <c r="I7">
        <f>C7*(1/F7)</f>
      </c>
      <c r="J7">
        <f>D7*(1/E7)</f>
      </c>
    </row>
    <row r="8">
      <c r="A8" t="str">
        <v>CS2</v>
      </c>
      <c r="B8">
        <f>'FUZZY_CP7'!I22</f>
      </c>
      <c r="C8">
        <f>'FUZZY_CP7'!I35</f>
      </c>
      <c r="D8">
        <f>'FUZZY_CP7'!I47</f>
      </c>
      <c r="E8">
        <f>'FUZZY_CP7'!I28</f>
      </c>
      <c r="F8">
        <f>'FUZZY_CP7'!I40</f>
      </c>
      <c r="G8">
        <f>'FUZZY_CP7'!I52</f>
      </c>
      <c r="H8">
        <f>B8*(1/G8)</f>
      </c>
      <c r="I8">
        <f>C8*(1/F8)</f>
      </c>
      <c r="J8">
        <f>D8*(1/E8)</f>
      </c>
    </row>
    <row r="9">
      <c r="A9" t="str">
        <v>CS3</v>
      </c>
      <c r="B9">
        <f>'FUZZY_CP7'!I23</f>
      </c>
      <c r="C9">
        <f>'FUZZY_CP7'!I36</f>
      </c>
      <c r="D9">
        <f>'FUZZY_CP7'!I48</f>
      </c>
      <c r="E9">
        <f>'FUZZY_CP7'!I28</f>
      </c>
      <c r="F9">
        <f>'FUZZY_CP7'!I40</f>
      </c>
      <c r="G9">
        <f>'FUZZY_CP7'!I52</f>
      </c>
      <c r="H9">
        <f>B9*(1/G9)</f>
      </c>
      <c r="I9">
        <f>C9*(1/F9)</f>
      </c>
      <c r="J9">
        <f>D9*(1/E9)</f>
      </c>
    </row>
    <row r="10">
      <c r="A10" t="str">
        <v>CS4</v>
      </c>
      <c r="B10">
        <f>'FUZZY_CP7'!I24</f>
      </c>
      <c r="C10">
        <f>'FUZZY_CP7'!I37</f>
      </c>
      <c r="D10">
        <f>'FUZZY_CP7'!I49</f>
      </c>
      <c r="E10">
        <f>'FUZZY_CP7'!I28</f>
      </c>
      <c r="F10">
        <f>'FUZZY_CP7'!I40</f>
      </c>
      <c r="G10">
        <f>'FUZZY_CP7'!I52</f>
      </c>
      <c r="H10">
        <f>B10*(1/G10)</f>
      </c>
      <c r="I10">
        <f>C10*(1/F10)</f>
      </c>
      <c r="J10">
        <f>D10*(1/E10)</f>
      </c>
    </row>
    <row r="11">
      <c r="A11" t="str">
        <v>CS5</v>
      </c>
      <c r="B11">
        <f>'FUZZY_CP7'!I25</f>
      </c>
      <c r="C11">
        <f>'FUZZY_CP7'!I38</f>
      </c>
      <c r="D11">
        <f>'FUZZY_CP7'!I50</f>
      </c>
      <c r="E11">
        <f>'FUZZY_CP7'!I28</f>
      </c>
      <c r="F11">
        <f>'FUZZY_CP7'!I40</f>
      </c>
      <c r="G11">
        <f>'FUZZY_CP7'!I52</f>
      </c>
      <c r="H11">
        <f>B11*(1/G11)</f>
      </c>
      <c r="I11">
        <f>C11*(1/F11)</f>
      </c>
      <c r="J11">
        <f>D11*(1/E11)</f>
      </c>
    </row>
    <row r="12">
      <c r="A12" t="str">
        <v>CS6</v>
      </c>
      <c r="B12">
        <f>'FUZZY_CP7'!I26</f>
      </c>
      <c r="C12">
        <f>'FUZZY_CP7'!I39</f>
      </c>
      <c r="D12">
        <f>'FUZZY_CP7'!I51</f>
      </c>
      <c r="E12">
        <f>'FUZZY_CP7'!I28</f>
      </c>
      <c r="F12">
        <f>'FUZZY_CP7'!I40</f>
      </c>
      <c r="G12">
        <f>'FUZZY_CP7'!I52</f>
      </c>
      <c r="H12">
        <f>B12*(1/G12)</f>
      </c>
      <c r="I12">
        <f>C12*(1/F12)</f>
      </c>
      <c r="J12">
        <f>D12*(1/E12)</f>
      </c>
    </row>
    <row r="13">
      <c r="A13" t="str">
        <v>CS7</v>
      </c>
      <c r="B13">
        <f>'FUZZY_CP7'!I27</f>
      </c>
      <c r="C13">
        <f>'FUZZY_CP7'!I40</f>
      </c>
      <c r="D13">
        <f>'FUZZY_CP7'!I52</f>
      </c>
      <c r="E13">
        <f>'FUZZY_CP7'!I28</f>
      </c>
      <c r="F13">
        <f>'FUZZY_CP7'!I40</f>
      </c>
      <c r="G13">
        <f>'FUZZY_CP7'!I52</f>
      </c>
      <c r="H13">
        <f>B13*(1/G13)</f>
      </c>
      <c r="I13">
        <f>C13*(1/F13)</f>
      </c>
      <c r="J13">
        <f>D13*(1/E13)</f>
      </c>
    </row>
    <row r="16">
      <c r="A16" t="str">
        <v>LANGKAH 2: Defuzzifikasi (Center of Area) + Normalisasi</v>
      </c>
    </row>
    <row r="17">
      <c r="A17" t="str">
        <v>Kriteria</v>
      </c>
      <c r="B17" t="str">
        <v>Si_l</v>
      </c>
      <c r="C17" t="str">
        <v>Si_m</v>
      </c>
      <c r="D17" t="str">
        <v>Si_u</v>
      </c>
      <c r="E17" t="str">
        <v>Defuzzy = (l+m+u)/3</v>
      </c>
      <c r="F17" t="str">
        <v>Bobot Normal</v>
      </c>
      <c r="G17" t="str">
        <v>Bobot %</v>
      </c>
      <c r="H17" t="str">
        <v>Ranking</v>
      </c>
    </row>
    <row r="18">
      <c r="A18" t="str">
        <v>CS1</v>
      </c>
      <c r="B18">
        <f>H7</f>
      </c>
      <c r="C18">
        <f>I7</f>
      </c>
      <c r="D18">
        <f>J7</f>
      </c>
      <c r="E18">
        <f>(B18+C18+D18)/3</f>
      </c>
      <c r="F18">
        <f>E18/E25</f>
      </c>
      <c r="G18">
        <f>F18*100</f>
      </c>
      <c r="H18">
        <f>RANK(F18,F$18:F$24,0)</f>
      </c>
    </row>
    <row r="19">
      <c r="A19" t="str">
        <v>CS2</v>
      </c>
      <c r="B19">
        <f>H8</f>
      </c>
      <c r="C19">
        <f>I8</f>
      </c>
      <c r="D19">
        <f>J8</f>
      </c>
      <c r="E19">
        <f>(B19+C19+D19)/3</f>
      </c>
      <c r="F19">
        <f>E19/E25</f>
      </c>
      <c r="G19">
        <f>F19*100</f>
      </c>
      <c r="H19">
        <f>RANK(F19,F$18:F$24,0)</f>
      </c>
    </row>
    <row r="20">
      <c r="A20" t="str">
        <v>CS3</v>
      </c>
      <c r="B20">
        <f>H9</f>
      </c>
      <c r="C20">
        <f>I9</f>
      </c>
      <c r="D20">
        <f>J9</f>
      </c>
      <c r="E20">
        <f>(B20+C20+D20)/3</f>
      </c>
      <c r="F20">
        <f>E20/E25</f>
      </c>
      <c r="G20">
        <f>F20*100</f>
      </c>
      <c r="H20">
        <f>RANK(F20,F$18:F$24,0)</f>
      </c>
    </row>
    <row r="21">
      <c r="A21" t="str">
        <v>CS4</v>
      </c>
      <c r="B21">
        <f>H10</f>
      </c>
      <c r="C21">
        <f>I10</f>
      </c>
      <c r="D21">
        <f>J10</f>
      </c>
      <c r="E21">
        <f>(B21+C21+D21)/3</f>
      </c>
      <c r="F21">
        <f>E21/E25</f>
      </c>
      <c r="G21">
        <f>F21*100</f>
      </c>
      <c r="H21">
        <f>RANK(F21,F$18:F$24,0)</f>
      </c>
    </row>
    <row r="22">
      <c r="A22" t="str">
        <v>CS5</v>
      </c>
      <c r="B22">
        <f>H11</f>
      </c>
      <c r="C22">
        <f>I11</f>
      </c>
      <c r="D22">
        <f>J11</f>
      </c>
      <c r="E22">
        <f>(B22+C22+D22)/3</f>
      </c>
      <c r="F22">
        <f>E22/E25</f>
      </c>
      <c r="G22">
        <f>F22*100</f>
      </c>
      <c r="H22">
        <f>RANK(F22,F$18:F$24,0)</f>
      </c>
    </row>
    <row r="23">
      <c r="A23" t="str">
        <v>CS6</v>
      </c>
      <c r="B23">
        <f>H12</f>
      </c>
      <c r="C23">
        <f>I12</f>
      </c>
      <c r="D23">
        <f>J12</f>
      </c>
      <c r="E23">
        <f>(B23+C23+D23)/3</f>
      </c>
      <c r="F23">
        <f>E23/E25</f>
      </c>
      <c r="G23">
        <f>F23*100</f>
      </c>
      <c r="H23">
        <f>RANK(F23,F$18:F$24,0)</f>
      </c>
    </row>
    <row r="24">
      <c r="A24" t="str">
        <v>CS7</v>
      </c>
      <c r="B24">
        <f>H13</f>
      </c>
      <c r="C24">
        <f>I13</f>
      </c>
      <c r="D24">
        <f>J13</f>
      </c>
      <c r="E24">
        <f>(B24+C24+D24)/3</f>
      </c>
      <c r="F24">
        <f>E24/E25</f>
      </c>
      <c r="G24">
        <f>F24*100</f>
      </c>
      <c r="H24">
        <f>RANK(F24,F$18:F$24,0)</f>
      </c>
    </row>
    <row r="25">
      <c r="D25" t="str">
        <v>TOTAL</v>
      </c>
      <c r="E25">
        <f>SUM(E18:E24)</f>
      </c>
    </row>
  </sheetData>
  <ignoredErrors>
    <ignoredError numberStoredAsText="1" sqref="A1:K2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CP8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D1</v>
      </c>
      <c r="C5" t="str">
        <v>D2</v>
      </c>
      <c r="D5" t="str">
        <v>A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D1</v>
      </c>
      <c r="C6" t="str">
        <v>D3</v>
      </c>
      <c r="D6" t="str">
        <v>A</v>
      </c>
      <c r="E6">
        <v>1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D1</v>
      </c>
      <c r="C7" t="str">
        <v>D4</v>
      </c>
      <c r="D7" t="str">
        <v>A</v>
      </c>
      <c r="E7">
        <v>1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D1</v>
      </c>
      <c r="C8" t="str">
        <v>D5</v>
      </c>
      <c r="D8" t="str">
        <v>A</v>
      </c>
      <c r="E8">
        <v>2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D1</v>
      </c>
      <c r="C9" t="str">
        <v>D6</v>
      </c>
      <c r="D9" t="str">
        <v>A</v>
      </c>
      <c r="E9">
        <v>2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D1</v>
      </c>
      <c r="C10" t="str">
        <v>D7</v>
      </c>
      <c r="D10" t="str">
        <v>A</v>
      </c>
      <c r="E10">
        <v>3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D2</v>
      </c>
      <c r="C11" t="str">
        <v>D3</v>
      </c>
      <c r="D11" t="str">
        <v>A</v>
      </c>
      <c r="E11">
        <v>1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D2</v>
      </c>
      <c r="C12" t="str">
        <v>D4</v>
      </c>
      <c r="D12" t="str">
        <v>A</v>
      </c>
      <c r="E12">
        <v>1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D2</v>
      </c>
      <c r="C13" t="str">
        <v>D5</v>
      </c>
      <c r="D13" t="str">
        <v>A</v>
      </c>
      <c r="E13">
        <v>2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D2</v>
      </c>
      <c r="C14" t="str">
        <v>D6</v>
      </c>
      <c r="D14" t="str">
        <v>A</v>
      </c>
      <c r="E14">
        <v>2</v>
      </c>
      <c r="F14">
        <f>IF(E14=1,"Sama Penting",IF(E14=3,"Sedikit Lebih Penting",IF(E14=5,"Lebih Penting",IF(E14=7,"Sangat Lebih Penting",IF(E14=9,"Mutlak Lebih Penting","Nilai Antara")))))</f>
      </c>
    </row>
    <row r="15">
      <c r="A15">
        <v>11</v>
      </c>
      <c r="B15" t="str">
        <v>D2</v>
      </c>
      <c r="C15" t="str">
        <v>D7</v>
      </c>
      <c r="D15" t="str">
        <v>A</v>
      </c>
      <c r="E15">
        <v>3</v>
      </c>
      <c r="F15">
        <f>IF(E15=1,"Sama Penting",IF(E15=3,"Sedikit Lebih Penting",IF(E15=5,"Lebih Penting",IF(E15=7,"Sangat Lebih Penting",IF(E15=9,"Mutlak Lebih Penting","Nilai Antara")))))</f>
      </c>
    </row>
    <row r="16">
      <c r="A16">
        <v>12</v>
      </c>
      <c r="B16" t="str">
        <v>D3</v>
      </c>
      <c r="C16" t="str">
        <v>D4</v>
      </c>
      <c r="D16" t="str">
        <v>A</v>
      </c>
      <c r="E16">
        <v>1</v>
      </c>
      <c r="F16">
        <f>IF(E16=1,"Sama Penting",IF(E16=3,"Sedikit Lebih Penting",IF(E16=5,"Lebih Penting",IF(E16=7,"Sangat Lebih Penting",IF(E16=9,"Mutlak Lebih Penting","Nilai Antara")))))</f>
      </c>
    </row>
    <row r="17">
      <c r="A17">
        <v>13</v>
      </c>
      <c r="B17" t="str">
        <v>D3</v>
      </c>
      <c r="C17" t="str">
        <v>D5</v>
      </c>
      <c r="D17" t="str">
        <v>A</v>
      </c>
      <c r="E17">
        <v>2</v>
      </c>
      <c r="F17">
        <f>IF(E17=1,"Sama Penting",IF(E17=3,"Sedikit Lebih Penting",IF(E17=5,"Lebih Penting",IF(E17=7,"Sangat Lebih Penting",IF(E17=9,"Mutlak Lebih Penting","Nilai Antara")))))</f>
      </c>
    </row>
    <row r="18">
      <c r="A18">
        <v>14</v>
      </c>
      <c r="B18" t="str">
        <v>D3</v>
      </c>
      <c r="C18" t="str">
        <v>D6</v>
      </c>
      <c r="D18" t="str">
        <v>A</v>
      </c>
      <c r="E18">
        <v>2</v>
      </c>
      <c r="F18">
        <f>IF(E18=1,"Sama Penting",IF(E18=3,"Sedikit Lebih Penting",IF(E18=5,"Lebih Penting",IF(E18=7,"Sangat Lebih Penting",IF(E18=9,"Mutlak Lebih Penting","Nilai Antara")))))</f>
      </c>
    </row>
    <row r="19">
      <c r="A19">
        <v>15</v>
      </c>
      <c r="B19" t="str">
        <v>D3</v>
      </c>
      <c r="C19" t="str">
        <v>D7</v>
      </c>
      <c r="D19" t="str">
        <v>A</v>
      </c>
      <c r="E19">
        <v>3</v>
      </c>
      <c r="F19">
        <f>IF(E19=1,"Sama Penting",IF(E19=3,"Sedikit Lebih Penting",IF(E19=5,"Lebih Penting",IF(E19=7,"Sangat Lebih Penting",IF(E19=9,"Mutlak Lebih Penting","Nilai Antara")))))</f>
      </c>
    </row>
    <row r="20">
      <c r="A20">
        <v>16</v>
      </c>
      <c r="B20" t="str">
        <v>D4</v>
      </c>
      <c r="C20" t="str">
        <v>D5</v>
      </c>
      <c r="D20" t="str">
        <v>A</v>
      </c>
      <c r="E20">
        <v>1</v>
      </c>
      <c r="F20">
        <f>IF(E20=1,"Sama Penting",IF(E20=3,"Sedikit Lebih Penting",IF(E20=5,"Lebih Penting",IF(E20=7,"Sangat Lebih Penting",IF(E20=9,"Mutlak Lebih Penting","Nilai Antara")))))</f>
      </c>
    </row>
    <row r="21">
      <c r="A21">
        <v>17</v>
      </c>
      <c r="B21" t="str">
        <v>D4</v>
      </c>
      <c r="C21" t="str">
        <v>D6</v>
      </c>
      <c r="D21" t="str">
        <v>A</v>
      </c>
      <c r="E21">
        <v>2</v>
      </c>
      <c r="F21">
        <f>IF(E21=1,"Sama Penting",IF(E21=3,"Sedikit Lebih Penting",IF(E21=5,"Lebih Penting",IF(E21=7,"Sangat Lebih Penting",IF(E21=9,"Mutlak Lebih Penting","Nilai Antara")))))</f>
      </c>
    </row>
    <row r="22">
      <c r="A22">
        <v>18</v>
      </c>
      <c r="B22" t="str">
        <v>D4</v>
      </c>
      <c r="C22" t="str">
        <v>D7</v>
      </c>
      <c r="D22" t="str">
        <v>A</v>
      </c>
      <c r="E22">
        <v>2</v>
      </c>
      <c r="F22">
        <f>IF(E22=1,"Sama Penting",IF(E22=3,"Sedikit Lebih Penting",IF(E22=5,"Lebih Penting",IF(E22=7,"Sangat Lebih Penting",IF(E22=9,"Mutlak Lebih Penting","Nilai Antara")))))</f>
      </c>
    </row>
    <row r="23">
      <c r="A23">
        <v>19</v>
      </c>
      <c r="B23" t="str">
        <v>D5</v>
      </c>
      <c r="C23" t="str">
        <v>D6</v>
      </c>
      <c r="D23" t="str">
        <v>A</v>
      </c>
      <c r="E23">
        <v>1</v>
      </c>
      <c r="F23">
        <f>IF(E23=1,"Sama Penting",IF(E23=3,"Sedikit Lebih Penting",IF(E23=5,"Lebih Penting",IF(E23=7,"Sangat Lebih Penting",IF(E23=9,"Mutlak Lebih Penting","Nilai Antara")))))</f>
      </c>
    </row>
    <row r="24">
      <c r="A24">
        <v>20</v>
      </c>
      <c r="B24" t="str">
        <v>D5</v>
      </c>
      <c r="C24" t="str">
        <v>D7</v>
      </c>
      <c r="D24" t="str">
        <v>A</v>
      </c>
      <c r="E24">
        <v>1</v>
      </c>
      <c r="F24">
        <f>IF(E24=1,"Sama Penting",IF(E24=3,"Sedikit Lebih Penting",IF(E24=5,"Lebih Penting",IF(E24=7,"Sangat Lebih Penting",IF(E24=9,"Mutlak Lebih Penting","Nilai Antara")))))</f>
      </c>
    </row>
    <row r="25">
      <c r="A25">
        <v>21</v>
      </c>
      <c r="B25" t="str">
        <v>D6</v>
      </c>
      <c r="C25" t="str">
        <v>D7</v>
      </c>
      <c r="D25" t="str">
        <v>A</v>
      </c>
      <c r="E25">
        <v>1</v>
      </c>
      <c r="F25">
        <f>IF(E25=1,"Sama Penting",IF(E25=3,"Sedikit Lebih Penting",IF(E25=5,"Lebih Penting",IF(E25=7,"Sangat Lebih Penting",IF(E25=9,"Mutlak Lebih Penting","Nilai Antara")))))</f>
      </c>
    </row>
    <row r="28">
      <c r="A28" t="str">
        <v>Tabel Random Index (RI) — Saaty</v>
      </c>
    </row>
    <row r="29">
      <c r="A29" t="str">
        <v>n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</row>
    <row r="30">
      <c r="A30" t="str">
        <v>RI</v>
      </c>
      <c r="B30">
        <v>0</v>
      </c>
      <c r="C30">
        <v>0</v>
      </c>
      <c r="D30">
        <v>0.58</v>
      </c>
      <c r="E30">
        <v>0.9</v>
      </c>
      <c r="F30">
        <v>1.12</v>
      </c>
      <c r="G30">
        <v>1.24</v>
      </c>
      <c r="H30">
        <v>1.32</v>
      </c>
      <c r="I30">
        <v>1.41</v>
      </c>
      <c r="J30">
        <v>1.45</v>
      </c>
      <c r="K30">
        <v>1.49</v>
      </c>
    </row>
    <row r="32">
      <c r="A32" t="str">
        <v>Skala Saaty → TFN (Triangular Fuzzy Number)</v>
      </c>
    </row>
    <row r="33">
      <c r="A33" t="str">
        <v>Skala</v>
      </c>
      <c r="B33" t="str">
        <v>l</v>
      </c>
      <c r="C33" t="str">
        <v>m</v>
      </c>
      <c r="D33" t="str">
        <v>u</v>
      </c>
    </row>
    <row r="34">
      <c r="A34">
        <v>1</v>
      </c>
      <c r="B34">
        <v>1</v>
      </c>
      <c r="C34">
        <v>1</v>
      </c>
      <c r="D34">
        <v>1</v>
      </c>
    </row>
    <row r="35">
      <c r="A35">
        <v>2</v>
      </c>
      <c r="B35">
        <v>1</v>
      </c>
      <c r="C35">
        <v>2</v>
      </c>
      <c r="D35">
        <v>3</v>
      </c>
    </row>
    <row r="36">
      <c r="A36">
        <v>3</v>
      </c>
      <c r="B36">
        <v>1</v>
      </c>
      <c r="C36">
        <v>3</v>
      </c>
      <c r="D36">
        <v>5</v>
      </c>
    </row>
    <row r="37">
      <c r="A37">
        <v>4</v>
      </c>
      <c r="B37">
        <v>3</v>
      </c>
      <c r="C37">
        <v>4</v>
      </c>
      <c r="D37">
        <v>5</v>
      </c>
    </row>
    <row r="38">
      <c r="A38">
        <v>5</v>
      </c>
      <c r="B38">
        <v>3</v>
      </c>
      <c r="C38">
        <v>5</v>
      </c>
      <c r="D38">
        <v>7</v>
      </c>
    </row>
    <row r="39">
      <c r="A39">
        <v>6</v>
      </c>
      <c r="B39">
        <v>5</v>
      </c>
      <c r="C39">
        <v>6</v>
      </c>
      <c r="D39">
        <v>7</v>
      </c>
    </row>
    <row r="40">
      <c r="A40">
        <v>7</v>
      </c>
      <c r="B40">
        <v>5</v>
      </c>
      <c r="C40">
        <v>7</v>
      </c>
      <c r="D40">
        <v>9</v>
      </c>
    </row>
    <row r="41">
      <c r="A41">
        <v>8</v>
      </c>
      <c r="B41">
        <v>7</v>
      </c>
      <c r="C41">
        <v>8</v>
      </c>
      <c r="D41">
        <v>9</v>
      </c>
    </row>
    <row r="42">
      <c r="A42">
        <v>9</v>
      </c>
      <c r="B42">
        <v>7</v>
      </c>
      <c r="C42">
        <v>9</v>
      </c>
      <c r="D42">
        <v>9</v>
      </c>
    </row>
  </sheetData>
  <ignoredErrors>
    <ignoredError numberStoredAsText="1" sqref="A1:K44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MATRIKS PERBANDINGAN BERPASANGAN — Level 2 — Sub-Kriteria CP8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D1</v>
      </c>
      <c r="C5" t="str">
        <v>D2</v>
      </c>
      <c r="D5" t="str">
        <v>D3</v>
      </c>
      <c r="E5" t="str">
        <v>D4</v>
      </c>
      <c r="F5" t="str">
        <v>D5</v>
      </c>
      <c r="G5" t="str">
        <v>D6</v>
      </c>
      <c r="H5" t="str">
        <v>D7</v>
      </c>
    </row>
    <row r="6">
      <c r="A6" t="str">
        <v>D1</v>
      </c>
      <c r="B6">
        <v>1</v>
      </c>
      <c r="C6">
        <f>IF('INPUT_CP8'!D5="A",'INPUT_CP8'!E5,1/'INPUT_CP8'!E5)</f>
      </c>
      <c r="D6">
        <f>IF('INPUT_CP8'!D6="A",'INPUT_CP8'!E6,1/'INPUT_CP8'!E6)</f>
      </c>
      <c r="E6">
        <f>IF('INPUT_CP8'!D7="A",'INPUT_CP8'!E7,1/'INPUT_CP8'!E7)</f>
      </c>
      <c r="F6">
        <f>IF('INPUT_CP8'!D8="A",'INPUT_CP8'!E8,1/'INPUT_CP8'!E8)</f>
      </c>
      <c r="G6">
        <f>IF('INPUT_CP8'!D9="A",'INPUT_CP8'!E9,1/'INPUT_CP8'!E9)</f>
      </c>
      <c r="H6">
        <f>IF('INPUT_CP8'!D10="A",'INPUT_CP8'!E10,1/'INPUT_CP8'!E10)</f>
      </c>
    </row>
    <row r="7">
      <c r="A7" t="str">
        <v>D2</v>
      </c>
      <c r="B7">
        <f>1/C6</f>
      </c>
      <c r="C7">
        <v>1</v>
      </c>
      <c r="D7">
        <f>IF('INPUT_CP8'!D11="A",'INPUT_CP8'!E11,1/'INPUT_CP8'!E11)</f>
      </c>
      <c r="E7">
        <f>IF('INPUT_CP8'!D12="A",'INPUT_CP8'!E12,1/'INPUT_CP8'!E12)</f>
      </c>
      <c r="F7">
        <f>IF('INPUT_CP8'!D13="A",'INPUT_CP8'!E13,1/'INPUT_CP8'!E13)</f>
      </c>
      <c r="G7">
        <f>IF('INPUT_CP8'!D14="A",'INPUT_CP8'!E14,1/'INPUT_CP8'!E14)</f>
      </c>
      <c r="H7">
        <f>IF('INPUT_CP8'!D15="A",'INPUT_CP8'!E15,1/'INPUT_CP8'!E15)</f>
      </c>
    </row>
    <row r="8">
      <c r="A8" t="str">
        <v>D3</v>
      </c>
      <c r="B8">
        <f>1/D6</f>
      </c>
      <c r="C8">
        <f>1/D7</f>
      </c>
      <c r="D8">
        <v>1</v>
      </c>
      <c r="E8">
        <f>IF('INPUT_CP8'!D16="A",'INPUT_CP8'!E16,1/'INPUT_CP8'!E16)</f>
      </c>
      <c r="F8">
        <f>IF('INPUT_CP8'!D17="A",'INPUT_CP8'!E17,1/'INPUT_CP8'!E17)</f>
      </c>
      <c r="G8">
        <f>IF('INPUT_CP8'!D18="A",'INPUT_CP8'!E18,1/'INPUT_CP8'!E18)</f>
      </c>
      <c r="H8">
        <f>IF('INPUT_CP8'!D19="A",'INPUT_CP8'!E19,1/'INPUT_CP8'!E19)</f>
      </c>
    </row>
    <row r="9">
      <c r="A9" t="str">
        <v>D4</v>
      </c>
      <c r="B9">
        <f>1/E6</f>
      </c>
      <c r="C9">
        <f>1/E7</f>
      </c>
      <c r="D9">
        <f>1/E8</f>
      </c>
      <c r="E9">
        <v>1</v>
      </c>
      <c r="F9">
        <f>IF('INPUT_CP8'!D20="A",'INPUT_CP8'!E20,1/'INPUT_CP8'!E20)</f>
      </c>
      <c r="G9">
        <f>IF('INPUT_CP8'!D21="A",'INPUT_CP8'!E21,1/'INPUT_CP8'!E21)</f>
      </c>
      <c r="H9">
        <f>IF('INPUT_CP8'!D22="A",'INPUT_CP8'!E22,1/'INPUT_CP8'!E22)</f>
      </c>
    </row>
    <row r="10">
      <c r="A10" t="str">
        <v>D5</v>
      </c>
      <c r="B10">
        <f>1/F6</f>
      </c>
      <c r="C10">
        <f>1/F7</f>
      </c>
      <c r="D10">
        <f>1/F8</f>
      </c>
      <c r="E10">
        <f>1/F9</f>
      </c>
      <c r="F10">
        <v>1</v>
      </c>
      <c r="G10">
        <f>IF('INPUT_CP8'!D23="A",'INPUT_CP8'!E23,1/'INPUT_CP8'!E23)</f>
      </c>
      <c r="H10">
        <f>IF('INPUT_CP8'!D24="A",'INPUT_CP8'!E24,1/'INPUT_CP8'!E24)</f>
      </c>
    </row>
    <row r="11">
      <c r="A11" t="str">
        <v>D6</v>
      </c>
      <c r="B11">
        <f>1/G6</f>
      </c>
      <c r="C11">
        <f>1/G7</f>
      </c>
      <c r="D11">
        <f>1/G8</f>
      </c>
      <c r="E11">
        <f>1/G9</f>
      </c>
      <c r="F11">
        <f>1/G10</f>
      </c>
      <c r="G11">
        <v>1</v>
      </c>
      <c r="H11">
        <f>IF('INPUT_CP8'!D25="A",'INPUT_CP8'!E25,1/'INPUT_CP8'!E25)</f>
      </c>
    </row>
    <row r="12">
      <c r="A12" t="str">
        <v>D7</v>
      </c>
      <c r="B12">
        <f>1/H6</f>
      </c>
      <c r="C12">
        <f>1/H7</f>
      </c>
      <c r="D12">
        <f>1/H8</f>
      </c>
      <c r="E12">
        <f>1/H9</f>
      </c>
      <c r="F12">
        <f>1/H10</f>
      </c>
      <c r="G12">
        <f>1/H11</f>
      </c>
      <c r="H12">
        <v>1</v>
      </c>
    </row>
    <row r="14">
      <c r="A14" t="str">
        <v>Jumlah Kolom</v>
      </c>
      <c r="B14">
        <f>SUM(B7:B13)</f>
      </c>
      <c r="C14">
        <f>SUM(C7:C13)</f>
      </c>
      <c r="D14">
        <f>SUM(D7:D13)</f>
      </c>
      <c r="E14">
        <f>SUM(E7:E13)</f>
      </c>
      <c r="F14">
        <f>SUM(F7:F13)</f>
      </c>
      <c r="G14">
        <f>SUM(G7:G13)</f>
      </c>
      <c r="H14">
        <f>SUM(H7:H13)</f>
      </c>
    </row>
  </sheetData>
  <ignoredErrors>
    <ignoredError numberStoredAsText="1" sqref="A1:I16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</cols>
  <sheetData>
    <row r="1">
      <c r="A1" t="str">
        <v>NORMALISASI &amp; BOBOT PRIORITAS — Level 2 — Sub-Kriteria CP8</v>
      </c>
    </row>
    <row r="2">
      <c r="A2" t="str">
        <v>Normalisasi kolom: setiap sel dibagi jumlah kolomnya</v>
      </c>
    </row>
    <row r="4">
      <c r="A4" t="str">
        <v/>
      </c>
      <c r="B4" t="str">
        <v>D1</v>
      </c>
      <c r="C4" t="str">
        <v>D2</v>
      </c>
      <c r="D4" t="str">
        <v>D3</v>
      </c>
      <c r="E4" t="str">
        <v>D4</v>
      </c>
      <c r="F4" t="str">
        <v>D5</v>
      </c>
      <c r="G4" t="str">
        <v>D6</v>
      </c>
      <c r="H4" t="str">
        <v>D7</v>
      </c>
      <c r="I4" t="str">
        <v>Rata-rata (Bobot)</v>
      </c>
    </row>
    <row r="5">
      <c r="A5" t="str">
        <v>D1</v>
      </c>
      <c r="B5">
        <f>'MATRIKS_CP8'!B6/'MATRIKS_CP8'!B14</f>
      </c>
      <c r="C5">
        <f>'MATRIKS_CP8'!C6/'MATRIKS_CP8'!C14</f>
      </c>
      <c r="D5">
        <f>'MATRIKS_CP8'!D6/'MATRIKS_CP8'!D14</f>
      </c>
      <c r="E5">
        <f>'MATRIKS_CP8'!E6/'MATRIKS_CP8'!E14</f>
      </c>
      <c r="F5">
        <f>'MATRIKS_CP8'!F6/'MATRIKS_CP8'!F14</f>
      </c>
      <c r="G5">
        <f>'MATRIKS_CP8'!G6/'MATRIKS_CP8'!G14</f>
      </c>
      <c r="H5">
        <f>'MATRIKS_CP8'!H6/'MATRIKS_CP8'!H14</f>
      </c>
      <c r="I5">
        <f>AVERAGE(B5:H5)</f>
      </c>
    </row>
    <row r="6">
      <c r="A6" t="str">
        <v>D2</v>
      </c>
      <c r="B6">
        <f>'MATRIKS_CP8'!B7/'MATRIKS_CP8'!B14</f>
      </c>
      <c r="C6">
        <f>'MATRIKS_CP8'!C7/'MATRIKS_CP8'!C14</f>
      </c>
      <c r="D6">
        <f>'MATRIKS_CP8'!D7/'MATRIKS_CP8'!D14</f>
      </c>
      <c r="E6">
        <f>'MATRIKS_CP8'!E7/'MATRIKS_CP8'!E14</f>
      </c>
      <c r="F6">
        <f>'MATRIKS_CP8'!F7/'MATRIKS_CP8'!F14</f>
      </c>
      <c r="G6">
        <f>'MATRIKS_CP8'!G7/'MATRIKS_CP8'!G14</f>
      </c>
      <c r="H6">
        <f>'MATRIKS_CP8'!H7/'MATRIKS_CP8'!H14</f>
      </c>
      <c r="I6">
        <f>AVERAGE(B6:H6)</f>
      </c>
    </row>
    <row r="7">
      <c r="A7" t="str">
        <v>D3</v>
      </c>
      <c r="B7">
        <f>'MATRIKS_CP8'!B8/'MATRIKS_CP8'!B14</f>
      </c>
      <c r="C7">
        <f>'MATRIKS_CP8'!C8/'MATRIKS_CP8'!C14</f>
      </c>
      <c r="D7">
        <f>'MATRIKS_CP8'!D8/'MATRIKS_CP8'!D14</f>
      </c>
      <c r="E7">
        <f>'MATRIKS_CP8'!E8/'MATRIKS_CP8'!E14</f>
      </c>
      <c r="F7">
        <f>'MATRIKS_CP8'!F8/'MATRIKS_CP8'!F14</f>
      </c>
      <c r="G7">
        <f>'MATRIKS_CP8'!G8/'MATRIKS_CP8'!G14</f>
      </c>
      <c r="H7">
        <f>'MATRIKS_CP8'!H8/'MATRIKS_CP8'!H14</f>
      </c>
      <c r="I7">
        <f>AVERAGE(B7:H7)</f>
      </c>
    </row>
    <row r="8">
      <c r="A8" t="str">
        <v>D4</v>
      </c>
      <c r="B8">
        <f>'MATRIKS_CP8'!B9/'MATRIKS_CP8'!B14</f>
      </c>
      <c r="C8">
        <f>'MATRIKS_CP8'!C9/'MATRIKS_CP8'!C14</f>
      </c>
      <c r="D8">
        <f>'MATRIKS_CP8'!D9/'MATRIKS_CP8'!D14</f>
      </c>
      <c r="E8">
        <f>'MATRIKS_CP8'!E9/'MATRIKS_CP8'!E14</f>
      </c>
      <c r="F8">
        <f>'MATRIKS_CP8'!F9/'MATRIKS_CP8'!F14</f>
      </c>
      <c r="G8">
        <f>'MATRIKS_CP8'!G9/'MATRIKS_CP8'!G14</f>
      </c>
      <c r="H8">
        <f>'MATRIKS_CP8'!H9/'MATRIKS_CP8'!H14</f>
      </c>
      <c r="I8">
        <f>AVERAGE(B8:H8)</f>
      </c>
    </row>
    <row r="9">
      <c r="A9" t="str">
        <v>D5</v>
      </c>
      <c r="B9">
        <f>'MATRIKS_CP8'!B10/'MATRIKS_CP8'!B14</f>
      </c>
      <c r="C9">
        <f>'MATRIKS_CP8'!C10/'MATRIKS_CP8'!C14</f>
      </c>
      <c r="D9">
        <f>'MATRIKS_CP8'!D10/'MATRIKS_CP8'!D14</f>
      </c>
      <c r="E9">
        <f>'MATRIKS_CP8'!E10/'MATRIKS_CP8'!E14</f>
      </c>
      <c r="F9">
        <f>'MATRIKS_CP8'!F10/'MATRIKS_CP8'!F14</f>
      </c>
      <c r="G9">
        <f>'MATRIKS_CP8'!G10/'MATRIKS_CP8'!G14</f>
      </c>
      <c r="H9">
        <f>'MATRIKS_CP8'!H10/'MATRIKS_CP8'!H14</f>
      </c>
      <c r="I9">
        <f>AVERAGE(B9:H9)</f>
      </c>
    </row>
    <row r="10">
      <c r="A10" t="str">
        <v>D6</v>
      </c>
      <c r="B10">
        <f>'MATRIKS_CP8'!B11/'MATRIKS_CP8'!B14</f>
      </c>
      <c r="C10">
        <f>'MATRIKS_CP8'!C11/'MATRIKS_CP8'!C14</f>
      </c>
      <c r="D10">
        <f>'MATRIKS_CP8'!D11/'MATRIKS_CP8'!D14</f>
      </c>
      <c r="E10">
        <f>'MATRIKS_CP8'!E11/'MATRIKS_CP8'!E14</f>
      </c>
      <c r="F10">
        <f>'MATRIKS_CP8'!F11/'MATRIKS_CP8'!F14</f>
      </c>
      <c r="G10">
        <f>'MATRIKS_CP8'!G11/'MATRIKS_CP8'!G14</f>
      </c>
      <c r="H10">
        <f>'MATRIKS_CP8'!H11/'MATRIKS_CP8'!H14</f>
      </c>
      <c r="I10">
        <f>AVERAGE(B10:H10)</f>
      </c>
    </row>
    <row r="11">
      <c r="A11" t="str">
        <v>D7</v>
      </c>
      <c r="B11">
        <f>'MATRIKS_CP8'!B12/'MATRIKS_CP8'!B14</f>
      </c>
      <c r="C11">
        <f>'MATRIKS_CP8'!C12/'MATRIKS_CP8'!C14</f>
      </c>
      <c r="D11">
        <f>'MATRIKS_CP8'!D12/'MATRIKS_CP8'!D14</f>
      </c>
      <c r="E11">
        <f>'MATRIKS_CP8'!E12/'MATRIKS_CP8'!E14</f>
      </c>
      <c r="F11">
        <f>'MATRIKS_CP8'!F12/'MATRIKS_CP8'!F14</f>
      </c>
      <c r="G11">
        <f>'MATRIKS_CP8'!G12/'MATRIKS_CP8'!G14</f>
      </c>
      <c r="H11">
        <f>'MATRIKS_CP8'!H12/'MATRIKS_CP8'!H14</f>
      </c>
      <c r="I11">
        <f>AVERAGE(B11:H11)</f>
      </c>
    </row>
    <row r="13">
      <c r="H13" t="str">
        <v>Total</v>
      </c>
      <c r="I13">
        <f>SUM(I5:I11)</f>
      </c>
    </row>
  </sheetData>
  <ignoredErrors>
    <ignoredError numberStoredAsText="1" sqref="A1:J15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CP8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D1</v>
      </c>
      <c r="B6">
        <f>'NORM_CP8'!I5</f>
      </c>
      <c r="C6">
        <f>SUMPRODUCT('MATRIKS_CP8'!B6:'MATRIKS_CP8'!H6,$B6:$B12)</f>
      </c>
      <c r="D6">
        <f>C6/B6</f>
      </c>
    </row>
    <row r="7">
      <c r="A7" t="str">
        <v>D2</v>
      </c>
      <c r="B7">
        <f>'NORM_CP8'!I6</f>
      </c>
      <c r="C7">
        <f>SUMPRODUCT('MATRIKS_CP8'!B7:'MATRIKS_CP8'!H7,$B6:$B12)</f>
      </c>
      <c r="D7">
        <f>C7/B7</f>
      </c>
    </row>
    <row r="8">
      <c r="A8" t="str">
        <v>D3</v>
      </c>
      <c r="B8">
        <f>'NORM_CP8'!I7</f>
      </c>
      <c r="C8">
        <f>SUMPRODUCT('MATRIKS_CP8'!B8:'MATRIKS_CP8'!H8,$B6:$B12)</f>
      </c>
      <c r="D8">
        <f>C8/B8</f>
      </c>
    </row>
    <row r="9">
      <c r="A9" t="str">
        <v>D4</v>
      </c>
      <c r="B9">
        <f>'NORM_CP8'!I8</f>
      </c>
      <c r="C9">
        <f>SUMPRODUCT('MATRIKS_CP8'!B9:'MATRIKS_CP8'!H9,$B6:$B12)</f>
      </c>
      <c r="D9">
        <f>C9/B9</f>
      </c>
    </row>
    <row r="10">
      <c r="A10" t="str">
        <v>D5</v>
      </c>
      <c r="B10">
        <f>'NORM_CP8'!I9</f>
      </c>
      <c r="C10">
        <f>SUMPRODUCT('MATRIKS_CP8'!B10:'MATRIKS_CP8'!H10,$B6:$B12)</f>
      </c>
      <c r="D10">
        <f>C10/B10</f>
      </c>
    </row>
    <row r="11">
      <c r="A11" t="str">
        <v>D6</v>
      </c>
      <c r="B11">
        <f>'NORM_CP8'!I10</f>
      </c>
      <c r="C11">
        <f>SUMPRODUCT('MATRIKS_CP8'!B11:'MATRIKS_CP8'!H11,$B6:$B12)</f>
      </c>
      <c r="D11">
        <f>C11/B11</f>
      </c>
    </row>
    <row r="12">
      <c r="A12" t="str">
        <v>D7</v>
      </c>
      <c r="B12">
        <f>'NORM_CP8'!I11</f>
      </c>
      <c r="C12">
        <f>SUMPRODUCT('MATRIKS_CP8'!B12:'MATRIKS_CP8'!H12,$B6:$B12)</f>
      </c>
      <c r="D12">
        <f>C12/B12</f>
      </c>
    </row>
    <row r="15">
      <c r="A15" t="str">
        <v>LANGKAH 2: Perhitungan λmax, CI, CR</v>
      </c>
    </row>
    <row r="16">
      <c r="A16" t="str">
        <v>n (jumlah kriteria)</v>
      </c>
      <c r="B16">
        <v>7</v>
      </c>
    </row>
    <row r="17">
      <c r="A17" t="str">
        <v>λmax</v>
      </c>
      <c r="B17">
        <f>AVERAGE(D6:D12)</f>
      </c>
    </row>
    <row r="18">
      <c r="A18" t="str">
        <v>CI (Consistency Index)</v>
      </c>
      <c r="B18">
        <f>(B17-B16)/(B16-1)</f>
      </c>
    </row>
    <row r="19">
      <c r="A19" t="str">
        <v>RI (Random Index)</v>
      </c>
      <c r="B19">
        <v>1.32</v>
      </c>
    </row>
    <row r="20">
      <c r="A20" t="str">
        <v>CR (Consistency Ratio)</v>
      </c>
      <c r="B20">
        <f>B18/B19</f>
      </c>
    </row>
    <row r="22">
      <c r="A22" t="str">
        <v>KESIMPULAN</v>
      </c>
      <c r="B22">
        <f>IF(B20&lt;0.1,"KONSISTEN ✓ (CR &lt; 0.10)","TIDAK KONSISTEN ✗ (CR ≥ 0.10, perlu revisi)")</f>
      </c>
    </row>
    <row r="24">
      <c r="A24" t="str">
        <v>Catatan:</v>
      </c>
    </row>
    <row r="25">
      <c r="A25" t="str">
        <v>• CR &lt; 0.10 → Matriks dianggap konsisten</v>
      </c>
    </row>
    <row r="26">
      <c r="A26" t="str">
        <v>• CR ≥ 0.10 → Matriks TIDAK konsisten, perlu revisi penilaian</v>
      </c>
    </row>
    <row r="27">
      <c r="A27" t="str">
        <v>• λmax ideal ≈ n (jumlah kriteria)</v>
      </c>
    </row>
  </sheetData>
  <ignoredErrors>
    <ignoredError numberStoredAsText="1" sqref="A1:E2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MATRIKS TFN FUZZY — Level 2 — Sub-Kriteria CP8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D1</v>
      </c>
      <c r="C19" t="str">
        <v>D2</v>
      </c>
      <c r="D19" t="str">
        <v>D3</v>
      </c>
      <c r="E19" t="str">
        <v>D4</v>
      </c>
      <c r="F19" t="str">
        <v>D5</v>
      </c>
      <c r="G19" t="str">
        <v>D6</v>
      </c>
      <c r="H19" t="str">
        <v>D7</v>
      </c>
    </row>
    <row r="20">
      <c r="A20" t="str">
        <v>D1</v>
      </c>
      <c r="B20">
        <v>1</v>
      </c>
      <c r="C20">
        <f>IF('INPUT_CP8'!D5="A",VLOOKUP('INPUT_CP8'!E5,$A$7:$D$15,2,FALSE),1/VLOOKUP('INPUT_CP8'!E5,$A$7:$D$15,4,FALSE))</f>
      </c>
      <c r="D20">
        <f>IF('INPUT_CP8'!D6="A",VLOOKUP('INPUT_CP8'!E6,$A$7:$D$15,2,FALSE),1/VLOOKUP('INPUT_CP8'!E6,$A$7:$D$15,4,FALSE))</f>
      </c>
      <c r="E20">
        <f>IF('INPUT_CP8'!D7="A",VLOOKUP('INPUT_CP8'!E7,$A$7:$D$15,2,FALSE),1/VLOOKUP('INPUT_CP8'!E7,$A$7:$D$15,4,FALSE))</f>
      </c>
      <c r="F20">
        <f>IF('INPUT_CP8'!D8="A",VLOOKUP('INPUT_CP8'!E8,$A$7:$D$15,2,FALSE),1/VLOOKUP('INPUT_CP8'!E8,$A$7:$D$15,4,FALSE))</f>
      </c>
      <c r="G20">
        <f>IF('INPUT_CP8'!D9="A",VLOOKUP('INPUT_CP8'!E9,$A$7:$D$15,2,FALSE),1/VLOOKUP('INPUT_CP8'!E9,$A$7:$D$15,4,FALSE))</f>
      </c>
      <c r="H20">
        <f>IF('INPUT_CP8'!D10="A",VLOOKUP('INPUT_CP8'!E10,$A$7:$D$15,2,FALSE),1/VLOOKUP('INPUT_CP8'!E10,$A$7:$D$15,4,FALSE))</f>
      </c>
      <c r="I20" t="str">
        <v>Σ Baris</v>
      </c>
    </row>
    <row r="21">
      <c r="A21" t="str">
        <v>D2</v>
      </c>
      <c r="B21">
        <f>IF('INPUT_CP8'!D5="A",1/VLOOKUP('INPUT_CP8'!E5,$A$7:$D$15,4,FALSE),VLOOKUP('INPUT_CP8'!E5,$A$7:$D$15,2,FALSE))</f>
      </c>
      <c r="C21">
        <v>1</v>
      </c>
      <c r="D21">
        <f>IF('INPUT_CP8'!D11="A",VLOOKUP('INPUT_CP8'!E11,$A$7:$D$15,2,FALSE),1/VLOOKUP('INPUT_CP8'!E11,$A$7:$D$15,4,FALSE))</f>
      </c>
      <c r="E21">
        <f>IF('INPUT_CP8'!D12="A",VLOOKUP('INPUT_CP8'!E12,$A$7:$D$15,2,FALSE),1/VLOOKUP('INPUT_CP8'!E12,$A$7:$D$15,4,FALSE))</f>
      </c>
      <c r="F21">
        <f>IF('INPUT_CP8'!D13="A",VLOOKUP('INPUT_CP8'!E13,$A$7:$D$15,2,FALSE),1/VLOOKUP('INPUT_CP8'!E13,$A$7:$D$15,4,FALSE))</f>
      </c>
      <c r="G21">
        <f>IF('INPUT_CP8'!D14="A",VLOOKUP('INPUT_CP8'!E14,$A$7:$D$15,2,FALSE),1/VLOOKUP('INPUT_CP8'!E14,$A$7:$D$15,4,FALSE))</f>
      </c>
      <c r="H21">
        <f>IF('INPUT_CP8'!D15="A",VLOOKUP('INPUT_CP8'!E15,$A$7:$D$15,2,FALSE),1/VLOOKUP('INPUT_CP8'!E15,$A$7:$D$15,4,FALSE))</f>
      </c>
      <c r="I21">
        <f>SUM(B21:H21)</f>
      </c>
    </row>
    <row r="22">
      <c r="A22" t="str">
        <v>D3</v>
      </c>
      <c r="B22">
        <f>IF('INPUT_CP8'!D6="A",1/VLOOKUP('INPUT_CP8'!E6,$A$7:$D$15,4,FALSE),VLOOKUP('INPUT_CP8'!E6,$A$7:$D$15,2,FALSE))</f>
      </c>
      <c r="C22">
        <f>IF('INPUT_CP8'!D11="A",1/VLOOKUP('INPUT_CP8'!E11,$A$7:$D$15,4,FALSE),VLOOKUP('INPUT_CP8'!E11,$A$7:$D$15,2,FALSE))</f>
      </c>
      <c r="D22">
        <v>1</v>
      </c>
      <c r="E22">
        <f>IF('INPUT_CP8'!D16="A",VLOOKUP('INPUT_CP8'!E16,$A$7:$D$15,2,FALSE),1/VLOOKUP('INPUT_CP8'!E16,$A$7:$D$15,4,FALSE))</f>
      </c>
      <c r="F22">
        <f>IF('INPUT_CP8'!D17="A",VLOOKUP('INPUT_CP8'!E17,$A$7:$D$15,2,FALSE),1/VLOOKUP('INPUT_CP8'!E17,$A$7:$D$15,4,FALSE))</f>
      </c>
      <c r="G22">
        <f>IF('INPUT_CP8'!D18="A",VLOOKUP('INPUT_CP8'!E18,$A$7:$D$15,2,FALSE),1/VLOOKUP('INPUT_CP8'!E18,$A$7:$D$15,4,FALSE))</f>
      </c>
      <c r="H22">
        <f>IF('INPUT_CP8'!D19="A",VLOOKUP('INPUT_CP8'!E19,$A$7:$D$15,2,FALSE),1/VLOOKUP('INPUT_CP8'!E19,$A$7:$D$15,4,FALSE))</f>
      </c>
      <c r="I22">
        <f>SUM(B22:H22)</f>
      </c>
    </row>
    <row r="23">
      <c r="A23" t="str">
        <v>D4</v>
      </c>
      <c r="B23">
        <f>IF('INPUT_CP8'!D7="A",1/VLOOKUP('INPUT_CP8'!E7,$A$7:$D$15,4,FALSE),VLOOKUP('INPUT_CP8'!E7,$A$7:$D$15,2,FALSE))</f>
      </c>
      <c r="C23">
        <f>IF('INPUT_CP8'!D12="A",1/VLOOKUP('INPUT_CP8'!E12,$A$7:$D$15,4,FALSE),VLOOKUP('INPUT_CP8'!E12,$A$7:$D$15,2,FALSE))</f>
      </c>
      <c r="D23">
        <f>IF('INPUT_CP8'!D16="A",1/VLOOKUP('INPUT_CP8'!E16,$A$7:$D$15,4,FALSE),VLOOKUP('INPUT_CP8'!E16,$A$7:$D$15,2,FALSE))</f>
      </c>
      <c r="E23">
        <v>1</v>
      </c>
      <c r="F23">
        <f>IF('INPUT_CP8'!D20="A",VLOOKUP('INPUT_CP8'!E20,$A$7:$D$15,2,FALSE),1/VLOOKUP('INPUT_CP8'!E20,$A$7:$D$15,4,FALSE))</f>
      </c>
      <c r="G23">
        <f>IF('INPUT_CP8'!D21="A",VLOOKUP('INPUT_CP8'!E21,$A$7:$D$15,2,FALSE),1/VLOOKUP('INPUT_CP8'!E21,$A$7:$D$15,4,FALSE))</f>
      </c>
      <c r="H23">
        <f>IF('INPUT_CP8'!D22="A",VLOOKUP('INPUT_CP8'!E22,$A$7:$D$15,2,FALSE),1/VLOOKUP('INPUT_CP8'!E22,$A$7:$D$15,4,FALSE))</f>
      </c>
      <c r="I23">
        <f>SUM(B23:H23)</f>
      </c>
    </row>
    <row r="24">
      <c r="A24" t="str">
        <v>D5</v>
      </c>
      <c r="B24">
        <f>IF('INPUT_CP8'!D8="A",1/VLOOKUP('INPUT_CP8'!E8,$A$7:$D$15,4,FALSE),VLOOKUP('INPUT_CP8'!E8,$A$7:$D$15,2,FALSE))</f>
      </c>
      <c r="C24">
        <f>IF('INPUT_CP8'!D13="A",1/VLOOKUP('INPUT_CP8'!E13,$A$7:$D$15,4,FALSE),VLOOKUP('INPUT_CP8'!E13,$A$7:$D$15,2,FALSE))</f>
      </c>
      <c r="D24">
        <f>IF('INPUT_CP8'!D17="A",1/VLOOKUP('INPUT_CP8'!E17,$A$7:$D$15,4,FALSE),VLOOKUP('INPUT_CP8'!E17,$A$7:$D$15,2,FALSE))</f>
      </c>
      <c r="E24">
        <f>IF('INPUT_CP8'!D20="A",1/VLOOKUP('INPUT_CP8'!E20,$A$7:$D$15,4,FALSE),VLOOKUP('INPUT_CP8'!E20,$A$7:$D$15,2,FALSE))</f>
      </c>
      <c r="F24">
        <v>1</v>
      </c>
      <c r="G24">
        <f>IF('INPUT_CP8'!D23="A",VLOOKUP('INPUT_CP8'!E23,$A$7:$D$15,2,FALSE),1/VLOOKUP('INPUT_CP8'!E23,$A$7:$D$15,4,FALSE))</f>
      </c>
      <c r="H24">
        <f>IF('INPUT_CP8'!D24="A",VLOOKUP('INPUT_CP8'!E24,$A$7:$D$15,2,FALSE),1/VLOOKUP('INPUT_CP8'!E24,$A$7:$D$15,4,FALSE))</f>
      </c>
      <c r="I24">
        <f>SUM(B24:H24)</f>
      </c>
    </row>
    <row r="25">
      <c r="A25" t="str">
        <v>D6</v>
      </c>
      <c r="B25">
        <f>IF('INPUT_CP8'!D9="A",1/VLOOKUP('INPUT_CP8'!E9,$A$7:$D$15,4,FALSE),VLOOKUP('INPUT_CP8'!E9,$A$7:$D$15,2,FALSE))</f>
      </c>
      <c r="C25">
        <f>IF('INPUT_CP8'!D14="A",1/VLOOKUP('INPUT_CP8'!E14,$A$7:$D$15,4,FALSE),VLOOKUP('INPUT_CP8'!E14,$A$7:$D$15,2,FALSE))</f>
      </c>
      <c r="D25">
        <f>IF('INPUT_CP8'!D18="A",1/VLOOKUP('INPUT_CP8'!E18,$A$7:$D$15,4,FALSE),VLOOKUP('INPUT_CP8'!E18,$A$7:$D$15,2,FALSE))</f>
      </c>
      <c r="E25">
        <f>IF('INPUT_CP8'!D21="A",1/VLOOKUP('INPUT_CP8'!E21,$A$7:$D$15,4,FALSE),VLOOKUP('INPUT_CP8'!E21,$A$7:$D$15,2,FALSE))</f>
      </c>
      <c r="F25">
        <f>IF('INPUT_CP8'!D23="A",1/VLOOKUP('INPUT_CP8'!E23,$A$7:$D$15,4,FALSE),VLOOKUP('INPUT_CP8'!E23,$A$7:$D$15,2,FALSE))</f>
      </c>
      <c r="G25">
        <v>1</v>
      </c>
      <c r="H25">
        <f>IF('INPUT_CP8'!D25="A",VLOOKUP('INPUT_CP8'!E25,$A$7:$D$15,2,FALSE),1/VLOOKUP('INPUT_CP8'!E25,$A$7:$D$15,4,FALSE))</f>
      </c>
      <c r="I25">
        <f>SUM(B25:H25)</f>
      </c>
    </row>
    <row r="26">
      <c r="A26" t="str">
        <v>D7</v>
      </c>
      <c r="B26">
        <f>IF('INPUT_CP8'!D10="A",1/VLOOKUP('INPUT_CP8'!E10,$A$7:$D$15,4,FALSE),VLOOKUP('INPUT_CP8'!E10,$A$7:$D$15,2,FALSE))</f>
      </c>
      <c r="C26">
        <f>IF('INPUT_CP8'!D15="A",1/VLOOKUP('INPUT_CP8'!E15,$A$7:$D$15,4,FALSE),VLOOKUP('INPUT_CP8'!E15,$A$7:$D$15,2,FALSE))</f>
      </c>
      <c r="D26">
        <f>IF('INPUT_CP8'!D19="A",1/VLOOKUP('INPUT_CP8'!E19,$A$7:$D$15,4,FALSE),VLOOKUP('INPUT_CP8'!E19,$A$7:$D$15,2,FALSE))</f>
      </c>
      <c r="E26">
        <f>IF('INPUT_CP8'!D22="A",1/VLOOKUP('INPUT_CP8'!E22,$A$7:$D$15,4,FALSE),VLOOKUP('INPUT_CP8'!E22,$A$7:$D$15,2,FALSE))</f>
      </c>
      <c r="F26">
        <f>IF('INPUT_CP8'!D24="A",1/VLOOKUP('INPUT_CP8'!E24,$A$7:$D$15,4,FALSE),VLOOKUP('INPUT_CP8'!E24,$A$7:$D$15,2,FALSE))</f>
      </c>
      <c r="G26">
        <f>IF('INPUT_CP8'!D25="A",1/VLOOKUP('INPUT_CP8'!E25,$A$7:$D$15,4,FALSE),VLOOKUP('INPUT_CP8'!E25,$A$7:$D$15,2,FALSE))</f>
      </c>
      <c r="H26">
        <v>1</v>
      </c>
      <c r="I26">
        <f>SUM(B26:H26)</f>
      </c>
    </row>
    <row r="27">
      <c r="I27">
        <f>SUM(B27:H27)</f>
      </c>
    </row>
    <row r="28">
      <c r="A28" t="str">
        <v>TOTAL</v>
      </c>
      <c r="I28">
        <f>SUM(I21:I27)</f>
      </c>
    </row>
    <row r="29">
      <c r="I29">
        <f>SUM(B22:H22)</f>
      </c>
    </row>
    <row r="30">
      <c r="I30">
        <f>SUM(B23:H23)</f>
      </c>
    </row>
    <row r="31">
      <c r="A31" t="str">
        <v>MATRIKS TFN — Komponen m (Middle)</v>
      </c>
      <c r="I31">
        <f>SUM(B24:H24)</f>
      </c>
    </row>
    <row r="32">
      <c r="A32" t="str">
        <v/>
      </c>
      <c r="B32" t="str">
        <v>D1</v>
      </c>
      <c r="C32" t="str">
        <v>D2</v>
      </c>
      <c r="D32" t="str">
        <v>D3</v>
      </c>
      <c r="E32" t="str">
        <v>D4</v>
      </c>
      <c r="F32" t="str">
        <v>D5</v>
      </c>
      <c r="G32" t="str">
        <v>D6</v>
      </c>
      <c r="H32" t="str">
        <v>D7</v>
      </c>
      <c r="I32" t="str">
        <v>Σ Baris</v>
      </c>
    </row>
    <row r="33">
      <c r="A33" t="str">
        <v>D1</v>
      </c>
      <c r="B33">
        <v>1</v>
      </c>
      <c r="C33">
        <f>IF('INPUT_CP8'!D5="A",VLOOKUP('INPUT_CP8'!E5,$A$7:$D$15,3,FALSE),1/VLOOKUP('INPUT_CP8'!E5,$A$7:$D$15,3,FALSE))</f>
      </c>
      <c r="D33">
        <f>IF('INPUT_CP8'!D6="A",VLOOKUP('INPUT_CP8'!E6,$A$7:$D$15,3,FALSE),1/VLOOKUP('INPUT_CP8'!E6,$A$7:$D$15,3,FALSE))</f>
      </c>
      <c r="E33">
        <f>IF('INPUT_CP8'!D7="A",VLOOKUP('INPUT_CP8'!E7,$A$7:$D$15,3,FALSE),1/VLOOKUP('INPUT_CP8'!E7,$A$7:$D$15,3,FALSE))</f>
      </c>
      <c r="F33">
        <f>IF('INPUT_CP8'!D8="A",VLOOKUP('INPUT_CP8'!E8,$A$7:$D$15,3,FALSE),1/VLOOKUP('INPUT_CP8'!E8,$A$7:$D$15,3,FALSE))</f>
      </c>
      <c r="G33">
        <f>IF('INPUT_CP8'!D9="A",VLOOKUP('INPUT_CP8'!E9,$A$7:$D$15,3,FALSE),1/VLOOKUP('INPUT_CP8'!E9,$A$7:$D$15,3,FALSE))</f>
      </c>
      <c r="H33">
        <f>IF('INPUT_CP8'!D10="A",VLOOKUP('INPUT_CP8'!E10,$A$7:$D$15,3,FALSE),1/VLOOKUP('INPUT_CP8'!E10,$A$7:$D$15,3,FALSE))</f>
      </c>
      <c r="I33">
        <f>SUM(B33:H33)</f>
      </c>
    </row>
    <row r="34">
      <c r="A34" t="str">
        <v>D2</v>
      </c>
      <c r="B34">
        <f>IF('INPUT_CP8'!D5="A",1/VLOOKUP('INPUT_CP8'!E5,$A$7:$D$15,3,FALSE),VLOOKUP('INPUT_CP8'!E5,$A$7:$D$15,3,FALSE))</f>
      </c>
      <c r="C34">
        <v>1</v>
      </c>
      <c r="D34">
        <f>IF('INPUT_CP8'!D11="A",VLOOKUP('INPUT_CP8'!E11,$A$7:$D$15,3,FALSE),1/VLOOKUP('INPUT_CP8'!E11,$A$7:$D$15,3,FALSE))</f>
      </c>
      <c r="E34">
        <f>IF('INPUT_CP8'!D12="A",VLOOKUP('INPUT_CP8'!E12,$A$7:$D$15,3,FALSE),1/VLOOKUP('INPUT_CP8'!E12,$A$7:$D$15,3,FALSE))</f>
      </c>
      <c r="F34">
        <f>IF('INPUT_CP8'!D13="A",VLOOKUP('INPUT_CP8'!E13,$A$7:$D$15,3,FALSE),1/VLOOKUP('INPUT_CP8'!E13,$A$7:$D$15,3,FALSE))</f>
      </c>
      <c r="G34">
        <f>IF('INPUT_CP8'!D14="A",VLOOKUP('INPUT_CP8'!E14,$A$7:$D$15,3,FALSE),1/VLOOKUP('INPUT_CP8'!E14,$A$7:$D$15,3,FALSE))</f>
      </c>
      <c r="H34">
        <f>IF('INPUT_CP8'!D15="A",VLOOKUP('INPUT_CP8'!E15,$A$7:$D$15,3,FALSE),1/VLOOKUP('INPUT_CP8'!E15,$A$7:$D$15,3,FALSE))</f>
      </c>
      <c r="I34">
        <f>SUM(B34:H34)</f>
      </c>
    </row>
    <row r="35">
      <c r="A35" t="str">
        <v>D3</v>
      </c>
      <c r="B35">
        <f>IF('INPUT_CP8'!D6="A",1/VLOOKUP('INPUT_CP8'!E6,$A$7:$D$15,3,FALSE),VLOOKUP('INPUT_CP8'!E6,$A$7:$D$15,3,FALSE))</f>
      </c>
      <c r="C35">
        <f>IF('INPUT_CP8'!D11="A",1/VLOOKUP('INPUT_CP8'!E11,$A$7:$D$15,3,FALSE),VLOOKUP('INPUT_CP8'!E11,$A$7:$D$15,3,FALSE))</f>
      </c>
      <c r="D35">
        <v>1</v>
      </c>
      <c r="E35">
        <f>IF('INPUT_CP8'!D16="A",VLOOKUP('INPUT_CP8'!E16,$A$7:$D$15,3,FALSE),1/VLOOKUP('INPUT_CP8'!E16,$A$7:$D$15,3,FALSE))</f>
      </c>
      <c r="F35">
        <f>IF('INPUT_CP8'!D17="A",VLOOKUP('INPUT_CP8'!E17,$A$7:$D$15,3,FALSE),1/VLOOKUP('INPUT_CP8'!E17,$A$7:$D$15,3,FALSE))</f>
      </c>
      <c r="G35">
        <f>IF('INPUT_CP8'!D18="A",VLOOKUP('INPUT_CP8'!E18,$A$7:$D$15,3,FALSE),1/VLOOKUP('INPUT_CP8'!E18,$A$7:$D$15,3,FALSE))</f>
      </c>
      <c r="H35">
        <f>IF('INPUT_CP8'!D19="A",VLOOKUP('INPUT_CP8'!E19,$A$7:$D$15,3,FALSE),1/VLOOKUP('INPUT_CP8'!E19,$A$7:$D$15,3,FALSE))</f>
      </c>
      <c r="I35">
        <f>SUM(B35:H35)</f>
      </c>
    </row>
    <row r="36">
      <c r="A36" t="str">
        <v>D4</v>
      </c>
      <c r="B36">
        <f>IF('INPUT_CP8'!D7="A",1/VLOOKUP('INPUT_CP8'!E7,$A$7:$D$15,3,FALSE),VLOOKUP('INPUT_CP8'!E7,$A$7:$D$15,3,FALSE))</f>
      </c>
      <c r="C36">
        <f>IF('INPUT_CP8'!D12="A",1/VLOOKUP('INPUT_CP8'!E12,$A$7:$D$15,3,FALSE),VLOOKUP('INPUT_CP8'!E12,$A$7:$D$15,3,FALSE))</f>
      </c>
      <c r="D36">
        <f>IF('INPUT_CP8'!D16="A",1/VLOOKUP('INPUT_CP8'!E16,$A$7:$D$15,3,FALSE),VLOOKUP('INPUT_CP8'!E16,$A$7:$D$15,3,FALSE))</f>
      </c>
      <c r="E36">
        <v>1</v>
      </c>
      <c r="F36">
        <f>IF('INPUT_CP8'!D20="A",VLOOKUP('INPUT_CP8'!E20,$A$7:$D$15,3,FALSE),1/VLOOKUP('INPUT_CP8'!E20,$A$7:$D$15,3,FALSE))</f>
      </c>
      <c r="G36">
        <f>IF('INPUT_CP8'!D21="A",VLOOKUP('INPUT_CP8'!E21,$A$7:$D$15,3,FALSE),1/VLOOKUP('INPUT_CP8'!E21,$A$7:$D$15,3,FALSE))</f>
      </c>
      <c r="H36">
        <f>IF('INPUT_CP8'!D22="A",VLOOKUP('INPUT_CP8'!E22,$A$7:$D$15,3,FALSE),1/VLOOKUP('INPUT_CP8'!E22,$A$7:$D$15,3,FALSE))</f>
      </c>
      <c r="I36">
        <f>SUM(B36:H36)</f>
      </c>
    </row>
    <row r="37">
      <c r="A37" t="str">
        <v>D5</v>
      </c>
      <c r="B37">
        <f>IF('INPUT_CP8'!D8="A",1/VLOOKUP('INPUT_CP8'!E8,$A$7:$D$15,3,FALSE),VLOOKUP('INPUT_CP8'!E8,$A$7:$D$15,3,FALSE))</f>
      </c>
      <c r="C37">
        <f>IF('INPUT_CP8'!D13="A",1/VLOOKUP('INPUT_CP8'!E13,$A$7:$D$15,3,FALSE),VLOOKUP('INPUT_CP8'!E13,$A$7:$D$15,3,FALSE))</f>
      </c>
      <c r="D37">
        <f>IF('INPUT_CP8'!D17="A",1/VLOOKUP('INPUT_CP8'!E17,$A$7:$D$15,3,FALSE),VLOOKUP('INPUT_CP8'!E17,$A$7:$D$15,3,FALSE))</f>
      </c>
      <c r="E37">
        <f>IF('INPUT_CP8'!D20="A",1/VLOOKUP('INPUT_CP8'!E20,$A$7:$D$15,3,FALSE),VLOOKUP('INPUT_CP8'!E20,$A$7:$D$15,3,FALSE))</f>
      </c>
      <c r="F37">
        <v>1</v>
      </c>
      <c r="G37">
        <f>IF('INPUT_CP8'!D23="A",VLOOKUP('INPUT_CP8'!E23,$A$7:$D$15,3,FALSE),1/VLOOKUP('INPUT_CP8'!E23,$A$7:$D$15,3,FALSE))</f>
      </c>
      <c r="H37">
        <f>IF('INPUT_CP8'!D24="A",VLOOKUP('INPUT_CP8'!E24,$A$7:$D$15,3,FALSE),1/VLOOKUP('INPUT_CP8'!E24,$A$7:$D$15,3,FALSE))</f>
      </c>
      <c r="I37">
        <f>SUM(B37:H37)</f>
      </c>
    </row>
    <row r="38">
      <c r="A38" t="str">
        <v>D6</v>
      </c>
      <c r="B38">
        <f>IF('INPUT_CP8'!D9="A",1/VLOOKUP('INPUT_CP8'!E9,$A$7:$D$15,3,FALSE),VLOOKUP('INPUT_CP8'!E9,$A$7:$D$15,3,FALSE))</f>
      </c>
      <c r="C38">
        <f>IF('INPUT_CP8'!D14="A",1/VLOOKUP('INPUT_CP8'!E14,$A$7:$D$15,3,FALSE),VLOOKUP('INPUT_CP8'!E14,$A$7:$D$15,3,FALSE))</f>
      </c>
      <c r="D38">
        <f>IF('INPUT_CP8'!D18="A",1/VLOOKUP('INPUT_CP8'!E18,$A$7:$D$15,3,FALSE),VLOOKUP('INPUT_CP8'!E18,$A$7:$D$15,3,FALSE))</f>
      </c>
      <c r="E38">
        <f>IF('INPUT_CP8'!D21="A",1/VLOOKUP('INPUT_CP8'!E21,$A$7:$D$15,3,FALSE),VLOOKUP('INPUT_CP8'!E21,$A$7:$D$15,3,FALSE))</f>
      </c>
      <c r="F38">
        <f>IF('INPUT_CP8'!D23="A",1/VLOOKUP('INPUT_CP8'!E23,$A$7:$D$15,3,FALSE),VLOOKUP('INPUT_CP8'!E23,$A$7:$D$15,3,FALSE))</f>
      </c>
      <c r="G38">
        <v>1</v>
      </c>
      <c r="H38">
        <f>IF('INPUT_CP8'!D25="A",VLOOKUP('INPUT_CP8'!E25,$A$7:$D$15,3,FALSE),1/VLOOKUP('INPUT_CP8'!E25,$A$7:$D$15,3,FALSE))</f>
      </c>
      <c r="I38">
        <f>SUM(B38:H38)</f>
      </c>
    </row>
    <row r="39">
      <c r="A39" t="str">
        <v>D7</v>
      </c>
      <c r="B39">
        <f>IF('INPUT_CP8'!D10="A",1/VLOOKUP('INPUT_CP8'!E10,$A$7:$D$15,3,FALSE),VLOOKUP('INPUT_CP8'!E10,$A$7:$D$15,3,FALSE))</f>
      </c>
      <c r="C39">
        <f>IF('INPUT_CP8'!D15="A",1/VLOOKUP('INPUT_CP8'!E15,$A$7:$D$15,3,FALSE),VLOOKUP('INPUT_CP8'!E15,$A$7:$D$15,3,FALSE))</f>
      </c>
      <c r="D39">
        <f>IF('INPUT_CP8'!D19="A",1/VLOOKUP('INPUT_CP8'!E19,$A$7:$D$15,3,FALSE),VLOOKUP('INPUT_CP8'!E19,$A$7:$D$15,3,FALSE))</f>
      </c>
      <c r="E39">
        <f>IF('INPUT_CP8'!D22="A",1/VLOOKUP('INPUT_CP8'!E22,$A$7:$D$15,3,FALSE),VLOOKUP('INPUT_CP8'!E22,$A$7:$D$15,3,FALSE))</f>
      </c>
      <c r="F39">
        <f>IF('INPUT_CP8'!D24="A",1/VLOOKUP('INPUT_CP8'!E24,$A$7:$D$15,3,FALSE),VLOOKUP('INPUT_CP8'!E24,$A$7:$D$15,3,FALSE))</f>
      </c>
      <c r="G39">
        <f>IF('INPUT_CP8'!D25="A",1/VLOOKUP('INPUT_CP8'!E25,$A$7:$D$15,3,FALSE),VLOOKUP('INPUT_CP8'!E25,$A$7:$D$15,3,FALSE))</f>
      </c>
      <c r="H39">
        <v>1</v>
      </c>
      <c r="I39">
        <f>SUM(B39:H39)</f>
      </c>
    </row>
    <row r="40">
      <c r="A40" t="str">
        <v>TOTAL</v>
      </c>
      <c r="I40">
        <f>SUM(I34:I40)</f>
      </c>
    </row>
    <row r="43">
      <c r="A43" t="str">
        <v>MATRIKS TFN — Komponen u (Upper)</v>
      </c>
    </row>
    <row r="44">
      <c r="A44" t="str">
        <v/>
      </c>
      <c r="B44" t="str">
        <v>D1</v>
      </c>
      <c r="C44" t="str">
        <v>D2</v>
      </c>
      <c r="D44" t="str">
        <v>D3</v>
      </c>
      <c r="E44" t="str">
        <v>D4</v>
      </c>
      <c r="F44" t="str">
        <v>D5</v>
      </c>
      <c r="G44" t="str">
        <v>D6</v>
      </c>
      <c r="H44" t="str">
        <v>D7</v>
      </c>
      <c r="I44" t="str">
        <v>Σ Baris</v>
      </c>
    </row>
    <row r="45">
      <c r="A45" t="str">
        <v>D1</v>
      </c>
      <c r="B45">
        <v>1</v>
      </c>
      <c r="C45">
        <f>IF('INPUT_CP8'!D5="A",VLOOKUP('INPUT_CP8'!E5,$A$7:$D$15,4,FALSE),1/VLOOKUP('INPUT_CP8'!E5,$A$7:$D$15,2,FALSE))</f>
      </c>
      <c r="D45">
        <f>IF('INPUT_CP8'!D6="A",VLOOKUP('INPUT_CP8'!E6,$A$7:$D$15,4,FALSE),1/VLOOKUP('INPUT_CP8'!E6,$A$7:$D$15,2,FALSE))</f>
      </c>
      <c r="E45">
        <f>IF('INPUT_CP8'!D7="A",VLOOKUP('INPUT_CP8'!E7,$A$7:$D$15,4,FALSE),1/VLOOKUP('INPUT_CP8'!E7,$A$7:$D$15,2,FALSE))</f>
      </c>
      <c r="F45">
        <f>IF('INPUT_CP8'!D8="A",VLOOKUP('INPUT_CP8'!E8,$A$7:$D$15,4,FALSE),1/VLOOKUP('INPUT_CP8'!E8,$A$7:$D$15,2,FALSE))</f>
      </c>
      <c r="G45">
        <f>IF('INPUT_CP8'!D9="A",VLOOKUP('INPUT_CP8'!E9,$A$7:$D$15,4,FALSE),1/VLOOKUP('INPUT_CP8'!E9,$A$7:$D$15,2,FALSE))</f>
      </c>
      <c r="H45">
        <f>IF('INPUT_CP8'!D10="A",VLOOKUP('INPUT_CP8'!E10,$A$7:$D$15,4,FALSE),1/VLOOKUP('INPUT_CP8'!E10,$A$7:$D$15,2,FALSE))</f>
      </c>
      <c r="I45">
        <f>SUM(B45:H45)</f>
      </c>
    </row>
    <row r="46">
      <c r="A46" t="str">
        <v>D2</v>
      </c>
      <c r="B46">
        <f>IF('INPUT_CP8'!D5="A",1/VLOOKUP('INPUT_CP8'!E5,$A$7:$D$15,2,FALSE),VLOOKUP('INPUT_CP8'!E5,$A$7:$D$15,4,FALSE))</f>
      </c>
      <c r="C46">
        <v>1</v>
      </c>
      <c r="D46">
        <f>IF('INPUT_CP8'!D11="A",VLOOKUP('INPUT_CP8'!E11,$A$7:$D$15,4,FALSE),1/VLOOKUP('INPUT_CP8'!E11,$A$7:$D$15,2,FALSE))</f>
      </c>
      <c r="E46">
        <f>IF('INPUT_CP8'!D12="A",VLOOKUP('INPUT_CP8'!E12,$A$7:$D$15,4,FALSE),1/VLOOKUP('INPUT_CP8'!E12,$A$7:$D$15,2,FALSE))</f>
      </c>
      <c r="F46">
        <f>IF('INPUT_CP8'!D13="A",VLOOKUP('INPUT_CP8'!E13,$A$7:$D$15,4,FALSE),1/VLOOKUP('INPUT_CP8'!E13,$A$7:$D$15,2,FALSE))</f>
      </c>
      <c r="G46">
        <f>IF('INPUT_CP8'!D14="A",VLOOKUP('INPUT_CP8'!E14,$A$7:$D$15,4,FALSE),1/VLOOKUP('INPUT_CP8'!E14,$A$7:$D$15,2,FALSE))</f>
      </c>
      <c r="H46">
        <f>IF('INPUT_CP8'!D15="A",VLOOKUP('INPUT_CP8'!E15,$A$7:$D$15,4,FALSE),1/VLOOKUP('INPUT_CP8'!E15,$A$7:$D$15,2,FALSE))</f>
      </c>
      <c r="I46">
        <f>SUM(B46:H46)</f>
      </c>
    </row>
    <row r="47">
      <c r="A47" t="str">
        <v>D3</v>
      </c>
      <c r="B47">
        <f>IF('INPUT_CP8'!D6="A",1/VLOOKUP('INPUT_CP8'!E6,$A$7:$D$15,2,FALSE),VLOOKUP('INPUT_CP8'!E6,$A$7:$D$15,4,FALSE))</f>
      </c>
      <c r="C47">
        <f>IF('INPUT_CP8'!D11="A",1/VLOOKUP('INPUT_CP8'!E11,$A$7:$D$15,2,FALSE),VLOOKUP('INPUT_CP8'!E11,$A$7:$D$15,4,FALSE))</f>
      </c>
      <c r="D47">
        <v>1</v>
      </c>
      <c r="E47">
        <f>IF('INPUT_CP8'!D16="A",VLOOKUP('INPUT_CP8'!E16,$A$7:$D$15,4,FALSE),1/VLOOKUP('INPUT_CP8'!E16,$A$7:$D$15,2,FALSE))</f>
      </c>
      <c r="F47">
        <f>IF('INPUT_CP8'!D17="A",VLOOKUP('INPUT_CP8'!E17,$A$7:$D$15,4,FALSE),1/VLOOKUP('INPUT_CP8'!E17,$A$7:$D$15,2,FALSE))</f>
      </c>
      <c r="G47">
        <f>IF('INPUT_CP8'!D18="A",VLOOKUP('INPUT_CP8'!E18,$A$7:$D$15,4,FALSE),1/VLOOKUP('INPUT_CP8'!E18,$A$7:$D$15,2,FALSE))</f>
      </c>
      <c r="H47">
        <f>IF('INPUT_CP8'!D19="A",VLOOKUP('INPUT_CP8'!E19,$A$7:$D$15,4,FALSE),1/VLOOKUP('INPUT_CP8'!E19,$A$7:$D$15,2,FALSE))</f>
      </c>
      <c r="I47">
        <f>SUM(B47:H47)</f>
      </c>
    </row>
    <row r="48">
      <c r="A48" t="str">
        <v>D4</v>
      </c>
      <c r="B48">
        <f>IF('INPUT_CP8'!D7="A",1/VLOOKUP('INPUT_CP8'!E7,$A$7:$D$15,2,FALSE),VLOOKUP('INPUT_CP8'!E7,$A$7:$D$15,4,FALSE))</f>
      </c>
      <c r="C48">
        <f>IF('INPUT_CP8'!D12="A",1/VLOOKUP('INPUT_CP8'!E12,$A$7:$D$15,2,FALSE),VLOOKUP('INPUT_CP8'!E12,$A$7:$D$15,4,FALSE))</f>
      </c>
      <c r="D48">
        <f>IF('INPUT_CP8'!D16="A",1/VLOOKUP('INPUT_CP8'!E16,$A$7:$D$15,2,FALSE),VLOOKUP('INPUT_CP8'!E16,$A$7:$D$15,4,FALSE))</f>
      </c>
      <c r="E48">
        <v>1</v>
      </c>
      <c r="F48">
        <f>IF('INPUT_CP8'!D20="A",VLOOKUP('INPUT_CP8'!E20,$A$7:$D$15,4,FALSE),1/VLOOKUP('INPUT_CP8'!E20,$A$7:$D$15,2,FALSE))</f>
      </c>
      <c r="G48">
        <f>IF('INPUT_CP8'!D21="A",VLOOKUP('INPUT_CP8'!E21,$A$7:$D$15,4,FALSE),1/VLOOKUP('INPUT_CP8'!E21,$A$7:$D$15,2,FALSE))</f>
      </c>
      <c r="H48">
        <f>IF('INPUT_CP8'!D22="A",VLOOKUP('INPUT_CP8'!E22,$A$7:$D$15,4,FALSE),1/VLOOKUP('INPUT_CP8'!E22,$A$7:$D$15,2,FALSE))</f>
      </c>
      <c r="I48">
        <f>SUM(B48:H48)</f>
      </c>
    </row>
    <row r="49">
      <c r="A49" t="str">
        <v>D5</v>
      </c>
      <c r="B49">
        <f>IF('INPUT_CP8'!D8="A",1/VLOOKUP('INPUT_CP8'!E8,$A$7:$D$15,2,FALSE),VLOOKUP('INPUT_CP8'!E8,$A$7:$D$15,4,FALSE))</f>
      </c>
      <c r="C49">
        <f>IF('INPUT_CP8'!D13="A",1/VLOOKUP('INPUT_CP8'!E13,$A$7:$D$15,2,FALSE),VLOOKUP('INPUT_CP8'!E13,$A$7:$D$15,4,FALSE))</f>
      </c>
      <c r="D49">
        <f>IF('INPUT_CP8'!D17="A",1/VLOOKUP('INPUT_CP8'!E17,$A$7:$D$15,2,FALSE),VLOOKUP('INPUT_CP8'!E17,$A$7:$D$15,4,FALSE))</f>
      </c>
      <c r="E49">
        <f>IF('INPUT_CP8'!D20="A",1/VLOOKUP('INPUT_CP8'!E20,$A$7:$D$15,2,FALSE),VLOOKUP('INPUT_CP8'!E20,$A$7:$D$15,4,FALSE))</f>
      </c>
      <c r="F49">
        <v>1</v>
      </c>
      <c r="G49">
        <f>IF('INPUT_CP8'!D23="A",VLOOKUP('INPUT_CP8'!E23,$A$7:$D$15,4,FALSE),1/VLOOKUP('INPUT_CP8'!E23,$A$7:$D$15,2,FALSE))</f>
      </c>
      <c r="H49">
        <f>IF('INPUT_CP8'!D24="A",VLOOKUP('INPUT_CP8'!E24,$A$7:$D$15,4,FALSE),1/VLOOKUP('INPUT_CP8'!E24,$A$7:$D$15,2,FALSE))</f>
      </c>
      <c r="I49">
        <f>SUM(B49:H49)</f>
      </c>
    </row>
    <row r="50">
      <c r="A50" t="str">
        <v>D6</v>
      </c>
      <c r="B50">
        <f>IF('INPUT_CP8'!D9="A",1/VLOOKUP('INPUT_CP8'!E9,$A$7:$D$15,2,FALSE),VLOOKUP('INPUT_CP8'!E9,$A$7:$D$15,4,FALSE))</f>
      </c>
      <c r="C50">
        <f>IF('INPUT_CP8'!D14="A",1/VLOOKUP('INPUT_CP8'!E14,$A$7:$D$15,2,FALSE),VLOOKUP('INPUT_CP8'!E14,$A$7:$D$15,4,FALSE))</f>
      </c>
      <c r="D50">
        <f>IF('INPUT_CP8'!D18="A",1/VLOOKUP('INPUT_CP8'!E18,$A$7:$D$15,2,FALSE),VLOOKUP('INPUT_CP8'!E18,$A$7:$D$15,4,FALSE))</f>
      </c>
      <c r="E50">
        <f>IF('INPUT_CP8'!D21="A",1/VLOOKUP('INPUT_CP8'!E21,$A$7:$D$15,2,FALSE),VLOOKUP('INPUT_CP8'!E21,$A$7:$D$15,4,FALSE))</f>
      </c>
      <c r="F50">
        <f>IF('INPUT_CP8'!D23="A",1/VLOOKUP('INPUT_CP8'!E23,$A$7:$D$15,2,FALSE),VLOOKUP('INPUT_CP8'!E23,$A$7:$D$15,4,FALSE))</f>
      </c>
      <c r="G50">
        <v>1</v>
      </c>
      <c r="H50">
        <f>IF('INPUT_CP8'!D25="A",VLOOKUP('INPUT_CP8'!E25,$A$7:$D$15,4,FALSE),1/VLOOKUP('INPUT_CP8'!E25,$A$7:$D$15,2,FALSE))</f>
      </c>
      <c r="I50">
        <f>SUM(B50:H50)</f>
      </c>
    </row>
    <row r="51">
      <c r="A51" t="str">
        <v>D7</v>
      </c>
      <c r="B51">
        <f>IF('INPUT_CP8'!D10="A",1/VLOOKUP('INPUT_CP8'!E10,$A$7:$D$15,2,FALSE),VLOOKUP('INPUT_CP8'!E10,$A$7:$D$15,4,FALSE))</f>
      </c>
      <c r="C51">
        <f>IF('INPUT_CP8'!D15="A",1/VLOOKUP('INPUT_CP8'!E15,$A$7:$D$15,2,FALSE),VLOOKUP('INPUT_CP8'!E15,$A$7:$D$15,4,FALSE))</f>
      </c>
      <c r="D51">
        <f>IF('INPUT_CP8'!D19="A",1/VLOOKUP('INPUT_CP8'!E19,$A$7:$D$15,2,FALSE),VLOOKUP('INPUT_CP8'!E19,$A$7:$D$15,4,FALSE))</f>
      </c>
      <c r="E51">
        <f>IF('INPUT_CP8'!D22="A",1/VLOOKUP('INPUT_CP8'!E22,$A$7:$D$15,2,FALSE),VLOOKUP('INPUT_CP8'!E22,$A$7:$D$15,4,FALSE))</f>
      </c>
      <c r="F51">
        <f>IF('INPUT_CP8'!D24="A",1/VLOOKUP('INPUT_CP8'!E24,$A$7:$D$15,2,FALSE),VLOOKUP('INPUT_CP8'!E24,$A$7:$D$15,4,FALSE))</f>
      </c>
      <c r="G51">
        <f>IF('INPUT_CP8'!D25="A",1/VLOOKUP('INPUT_CP8'!E25,$A$7:$D$15,2,FALSE),VLOOKUP('INPUT_CP8'!E25,$A$7:$D$15,4,FALSE))</f>
      </c>
      <c r="H51">
        <v>1</v>
      </c>
      <c r="I51">
        <f>SUM(B51:H51)</f>
      </c>
    </row>
    <row r="52">
      <c r="A52" t="str">
        <v>TOTAL</v>
      </c>
      <c r="I52">
        <f>SUM(I46:I52)</f>
      </c>
    </row>
  </sheetData>
  <ignoredErrors>
    <ignoredError numberStoredAsText="1" sqref="A1:K54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CP8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D1</v>
      </c>
      <c r="B7">
        <f>'FUZZY_CP8'!I21</f>
      </c>
      <c r="C7">
        <f>'FUZZY_CP8'!I34</f>
      </c>
      <c r="D7">
        <f>'FUZZY_CP8'!I46</f>
      </c>
      <c r="E7">
        <f>'FUZZY_CP8'!I28</f>
      </c>
      <c r="F7">
        <f>'FUZZY_CP8'!I40</f>
      </c>
      <c r="G7">
        <f>'FUZZY_CP8'!I52</f>
      </c>
      <c r="H7">
        <f>B7*(1/G7)</f>
      </c>
      <c r="I7">
        <f>C7*(1/F7)</f>
      </c>
      <c r="J7">
        <f>D7*(1/E7)</f>
      </c>
    </row>
    <row r="8">
      <c r="A8" t="str">
        <v>D2</v>
      </c>
      <c r="B8">
        <f>'FUZZY_CP8'!I22</f>
      </c>
      <c r="C8">
        <f>'FUZZY_CP8'!I35</f>
      </c>
      <c r="D8">
        <f>'FUZZY_CP8'!I47</f>
      </c>
      <c r="E8">
        <f>'FUZZY_CP8'!I28</f>
      </c>
      <c r="F8">
        <f>'FUZZY_CP8'!I40</f>
      </c>
      <c r="G8">
        <f>'FUZZY_CP8'!I52</f>
      </c>
      <c r="H8">
        <f>B8*(1/G8)</f>
      </c>
      <c r="I8">
        <f>C8*(1/F8)</f>
      </c>
      <c r="J8">
        <f>D8*(1/E8)</f>
      </c>
    </row>
    <row r="9">
      <c r="A9" t="str">
        <v>D3</v>
      </c>
      <c r="B9">
        <f>'FUZZY_CP8'!I23</f>
      </c>
      <c r="C9">
        <f>'FUZZY_CP8'!I36</f>
      </c>
      <c r="D9">
        <f>'FUZZY_CP8'!I48</f>
      </c>
      <c r="E9">
        <f>'FUZZY_CP8'!I28</f>
      </c>
      <c r="F9">
        <f>'FUZZY_CP8'!I40</f>
      </c>
      <c r="G9">
        <f>'FUZZY_CP8'!I52</f>
      </c>
      <c r="H9">
        <f>B9*(1/G9)</f>
      </c>
      <c r="I9">
        <f>C9*(1/F9)</f>
      </c>
      <c r="J9">
        <f>D9*(1/E9)</f>
      </c>
    </row>
    <row r="10">
      <c r="A10" t="str">
        <v>D4</v>
      </c>
      <c r="B10">
        <f>'FUZZY_CP8'!I24</f>
      </c>
      <c r="C10">
        <f>'FUZZY_CP8'!I37</f>
      </c>
      <c r="D10">
        <f>'FUZZY_CP8'!I49</f>
      </c>
      <c r="E10">
        <f>'FUZZY_CP8'!I28</f>
      </c>
      <c r="F10">
        <f>'FUZZY_CP8'!I40</f>
      </c>
      <c r="G10">
        <f>'FUZZY_CP8'!I52</f>
      </c>
      <c r="H10">
        <f>B10*(1/G10)</f>
      </c>
      <c r="I10">
        <f>C10*(1/F10)</f>
      </c>
      <c r="J10">
        <f>D10*(1/E10)</f>
      </c>
    </row>
    <row r="11">
      <c r="A11" t="str">
        <v>D5</v>
      </c>
      <c r="B11">
        <f>'FUZZY_CP8'!I25</f>
      </c>
      <c r="C11">
        <f>'FUZZY_CP8'!I38</f>
      </c>
      <c r="D11">
        <f>'FUZZY_CP8'!I50</f>
      </c>
      <c r="E11">
        <f>'FUZZY_CP8'!I28</f>
      </c>
      <c r="F11">
        <f>'FUZZY_CP8'!I40</f>
      </c>
      <c r="G11">
        <f>'FUZZY_CP8'!I52</f>
      </c>
      <c r="H11">
        <f>B11*(1/G11)</f>
      </c>
      <c r="I11">
        <f>C11*(1/F11)</f>
      </c>
      <c r="J11">
        <f>D11*(1/E11)</f>
      </c>
    </row>
    <row r="12">
      <c r="A12" t="str">
        <v>D6</v>
      </c>
      <c r="B12">
        <f>'FUZZY_CP8'!I26</f>
      </c>
      <c r="C12">
        <f>'FUZZY_CP8'!I39</f>
      </c>
      <c r="D12">
        <f>'FUZZY_CP8'!I51</f>
      </c>
      <c r="E12">
        <f>'FUZZY_CP8'!I28</f>
      </c>
      <c r="F12">
        <f>'FUZZY_CP8'!I40</f>
      </c>
      <c r="G12">
        <f>'FUZZY_CP8'!I52</f>
      </c>
      <c r="H12">
        <f>B12*(1/G12)</f>
      </c>
      <c r="I12">
        <f>C12*(1/F12)</f>
      </c>
      <c r="J12">
        <f>D12*(1/E12)</f>
      </c>
    </row>
    <row r="13">
      <c r="A13" t="str">
        <v>D7</v>
      </c>
      <c r="B13">
        <f>'FUZZY_CP8'!I27</f>
      </c>
      <c r="C13">
        <f>'FUZZY_CP8'!I40</f>
      </c>
      <c r="D13">
        <f>'FUZZY_CP8'!I52</f>
      </c>
      <c r="E13">
        <f>'FUZZY_CP8'!I28</f>
      </c>
      <c r="F13">
        <f>'FUZZY_CP8'!I40</f>
      </c>
      <c r="G13">
        <f>'FUZZY_CP8'!I52</f>
      </c>
      <c r="H13">
        <f>B13*(1/G13)</f>
      </c>
      <c r="I13">
        <f>C13*(1/F13)</f>
      </c>
      <c r="J13">
        <f>D13*(1/E13)</f>
      </c>
    </row>
    <row r="16">
      <c r="A16" t="str">
        <v>LANGKAH 2: Defuzzifikasi (Center of Area) + Normalisasi</v>
      </c>
    </row>
    <row r="17">
      <c r="A17" t="str">
        <v>Kriteria</v>
      </c>
      <c r="B17" t="str">
        <v>Si_l</v>
      </c>
      <c r="C17" t="str">
        <v>Si_m</v>
      </c>
      <c r="D17" t="str">
        <v>Si_u</v>
      </c>
      <c r="E17" t="str">
        <v>Defuzzy = (l+m+u)/3</v>
      </c>
      <c r="F17" t="str">
        <v>Bobot Normal</v>
      </c>
      <c r="G17" t="str">
        <v>Bobot %</v>
      </c>
      <c r="H17" t="str">
        <v>Ranking</v>
      </c>
    </row>
    <row r="18">
      <c r="A18" t="str">
        <v>D1</v>
      </c>
      <c r="B18">
        <f>H7</f>
      </c>
      <c r="C18">
        <f>I7</f>
      </c>
      <c r="D18">
        <f>J7</f>
      </c>
      <c r="E18">
        <f>(B18+C18+D18)/3</f>
      </c>
      <c r="F18">
        <f>E18/E25</f>
      </c>
      <c r="G18">
        <f>F18*100</f>
      </c>
      <c r="H18">
        <f>RANK(F18,F$18:F$24,0)</f>
      </c>
    </row>
    <row r="19">
      <c r="A19" t="str">
        <v>D2</v>
      </c>
      <c r="B19">
        <f>H8</f>
      </c>
      <c r="C19">
        <f>I8</f>
      </c>
      <c r="D19">
        <f>J8</f>
      </c>
      <c r="E19">
        <f>(B19+C19+D19)/3</f>
      </c>
      <c r="F19">
        <f>E19/E25</f>
      </c>
      <c r="G19">
        <f>F19*100</f>
      </c>
      <c r="H19">
        <f>RANK(F19,F$18:F$24,0)</f>
      </c>
    </row>
    <row r="20">
      <c r="A20" t="str">
        <v>D3</v>
      </c>
      <c r="B20">
        <f>H9</f>
      </c>
      <c r="C20">
        <f>I9</f>
      </c>
      <c r="D20">
        <f>J9</f>
      </c>
      <c r="E20">
        <f>(B20+C20+D20)/3</f>
      </c>
      <c r="F20">
        <f>E20/E25</f>
      </c>
      <c r="G20">
        <f>F20*100</f>
      </c>
      <c r="H20">
        <f>RANK(F20,F$18:F$24,0)</f>
      </c>
    </row>
    <row r="21">
      <c r="A21" t="str">
        <v>D4</v>
      </c>
      <c r="B21">
        <f>H10</f>
      </c>
      <c r="C21">
        <f>I10</f>
      </c>
      <c r="D21">
        <f>J10</f>
      </c>
      <c r="E21">
        <f>(B21+C21+D21)/3</f>
      </c>
      <c r="F21">
        <f>E21/E25</f>
      </c>
      <c r="G21">
        <f>F21*100</f>
      </c>
      <c r="H21">
        <f>RANK(F21,F$18:F$24,0)</f>
      </c>
    </row>
    <row r="22">
      <c r="A22" t="str">
        <v>D5</v>
      </c>
      <c r="B22">
        <f>H11</f>
      </c>
      <c r="C22">
        <f>I11</f>
      </c>
      <c r="D22">
        <f>J11</f>
      </c>
      <c r="E22">
        <f>(B22+C22+D22)/3</f>
      </c>
      <c r="F22">
        <f>E22/E25</f>
      </c>
      <c r="G22">
        <f>F22*100</f>
      </c>
      <c r="H22">
        <f>RANK(F22,F$18:F$24,0)</f>
      </c>
    </row>
    <row r="23">
      <c r="A23" t="str">
        <v>D6</v>
      </c>
      <c r="B23">
        <f>H12</f>
      </c>
      <c r="C23">
        <f>I12</f>
      </c>
      <c r="D23">
        <f>J12</f>
      </c>
      <c r="E23">
        <f>(B23+C23+D23)/3</f>
      </c>
      <c r="F23">
        <f>E23/E25</f>
      </c>
      <c r="G23">
        <f>F23*100</f>
      </c>
      <c r="H23">
        <f>RANK(F23,F$18:F$24,0)</f>
      </c>
    </row>
    <row r="24">
      <c r="A24" t="str">
        <v>D7</v>
      </c>
      <c r="B24">
        <f>H13</f>
      </c>
      <c r="C24">
        <f>I13</f>
      </c>
      <c r="D24">
        <f>J13</f>
      </c>
      <c r="E24">
        <f>(B24+C24+D24)/3</f>
      </c>
      <c r="F24">
        <f>E24/E25</f>
      </c>
      <c r="G24">
        <f>F24*100</f>
      </c>
      <c r="H24">
        <f>RANK(F24,F$18:F$24,0)</f>
      </c>
    </row>
    <row r="25">
      <c r="D25" t="str">
        <v>TOTAL</v>
      </c>
      <c r="E25">
        <f>SUM(E18:E24)</f>
      </c>
    </row>
  </sheetData>
  <ignoredErrors>
    <ignoredError numberStoredAsText="1" sqref="A1:K28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32.83203125" customWidth="1"/>
  </cols>
  <sheetData>
    <row r="1">
      <c r="A1" t="str">
        <v>INPUT DATA — Level 2 — Sub-Kriteria CP9</v>
      </c>
    </row>
    <row r="2">
      <c r="A2" t="str">
        <v>Data input pairwise comparison — hanya isi kolom kuning</v>
      </c>
    </row>
    <row r="4">
      <c r="A4" t="str">
        <v>No</v>
      </c>
      <c r="B4" t="str">
        <v>Kriteria A</v>
      </c>
      <c r="C4" t="str">
        <v>Kriteria B</v>
      </c>
      <c r="D4" t="str">
        <v>Lebih Penting</v>
      </c>
      <c r="E4" t="str">
        <v>Skala Saaty</v>
      </c>
      <c r="F4" t="str">
        <v>Keterangan</v>
      </c>
    </row>
    <row r="5">
      <c r="A5">
        <v>1</v>
      </c>
      <c r="B5" t="str">
        <v>RT1</v>
      </c>
      <c r="C5" t="str">
        <v>RT2</v>
      </c>
      <c r="D5" t="str">
        <v>A</v>
      </c>
      <c r="E5">
        <v>1</v>
      </c>
      <c r="F5">
        <f>IF(E5=1,"Sama Penting",IF(E5=3,"Sedikit Lebih Penting",IF(E5=5,"Lebih Penting",IF(E5=7,"Sangat Lebih Penting",IF(E5=9,"Mutlak Lebih Penting","Nilai Antara")))))</f>
      </c>
    </row>
    <row r="6">
      <c r="A6">
        <v>2</v>
      </c>
      <c r="B6" t="str">
        <v>RT1</v>
      </c>
      <c r="C6" t="str">
        <v>RT3</v>
      </c>
      <c r="D6" t="str">
        <v>A</v>
      </c>
      <c r="E6">
        <v>1</v>
      </c>
      <c r="F6">
        <f>IF(E6=1,"Sama Penting",IF(E6=3,"Sedikit Lebih Penting",IF(E6=5,"Lebih Penting",IF(E6=7,"Sangat Lebih Penting",IF(E6=9,"Mutlak Lebih Penting","Nilai Antara")))))</f>
      </c>
    </row>
    <row r="7">
      <c r="A7">
        <v>3</v>
      </c>
      <c r="B7" t="str">
        <v>RT1</v>
      </c>
      <c r="C7" t="str">
        <v>RT4</v>
      </c>
      <c r="D7" t="str">
        <v>A</v>
      </c>
      <c r="E7">
        <v>2</v>
      </c>
      <c r="F7">
        <f>IF(E7=1,"Sama Penting",IF(E7=3,"Sedikit Lebih Penting",IF(E7=5,"Lebih Penting",IF(E7=7,"Sangat Lebih Penting",IF(E7=9,"Mutlak Lebih Penting","Nilai Antara")))))</f>
      </c>
    </row>
    <row r="8">
      <c r="A8">
        <v>4</v>
      </c>
      <c r="B8" t="str">
        <v>RT1</v>
      </c>
      <c r="C8" t="str">
        <v>RT5</v>
      </c>
      <c r="D8" t="str">
        <v>A</v>
      </c>
      <c r="E8">
        <v>2</v>
      </c>
      <c r="F8">
        <f>IF(E8=1,"Sama Penting",IF(E8=3,"Sedikit Lebih Penting",IF(E8=5,"Lebih Penting",IF(E8=7,"Sangat Lebih Penting",IF(E8=9,"Mutlak Lebih Penting","Nilai Antara")))))</f>
      </c>
    </row>
    <row r="9">
      <c r="A9">
        <v>5</v>
      </c>
      <c r="B9" t="str">
        <v>RT1</v>
      </c>
      <c r="C9" t="str">
        <v>RT6</v>
      </c>
      <c r="D9" t="str">
        <v>A</v>
      </c>
      <c r="E9">
        <v>2</v>
      </c>
      <c r="F9">
        <f>IF(E9=1,"Sama Penting",IF(E9=3,"Sedikit Lebih Penting",IF(E9=5,"Lebih Penting",IF(E9=7,"Sangat Lebih Penting",IF(E9=9,"Mutlak Lebih Penting","Nilai Antara")))))</f>
      </c>
    </row>
    <row r="10">
      <c r="A10">
        <v>6</v>
      </c>
      <c r="B10" t="str">
        <v>RT1</v>
      </c>
      <c r="C10" t="str">
        <v>RT7</v>
      </c>
      <c r="D10" t="str">
        <v>A</v>
      </c>
      <c r="E10">
        <v>2</v>
      </c>
      <c r="F10">
        <f>IF(E10=1,"Sama Penting",IF(E10=3,"Sedikit Lebih Penting",IF(E10=5,"Lebih Penting",IF(E10=7,"Sangat Lebih Penting",IF(E10=9,"Mutlak Lebih Penting","Nilai Antara")))))</f>
      </c>
    </row>
    <row r="11">
      <c r="A11">
        <v>7</v>
      </c>
      <c r="B11" t="str">
        <v>RT2</v>
      </c>
      <c r="C11" t="str">
        <v>RT3</v>
      </c>
      <c r="D11" t="str">
        <v>A</v>
      </c>
      <c r="E11">
        <v>1</v>
      </c>
      <c r="F11">
        <f>IF(E11=1,"Sama Penting",IF(E11=3,"Sedikit Lebih Penting",IF(E11=5,"Lebih Penting",IF(E11=7,"Sangat Lebih Penting",IF(E11=9,"Mutlak Lebih Penting","Nilai Antara")))))</f>
      </c>
    </row>
    <row r="12">
      <c r="A12">
        <v>8</v>
      </c>
      <c r="B12" t="str">
        <v>RT2</v>
      </c>
      <c r="C12" t="str">
        <v>RT4</v>
      </c>
      <c r="D12" t="str">
        <v>A</v>
      </c>
      <c r="E12">
        <v>1</v>
      </c>
      <c r="F12">
        <f>IF(E12=1,"Sama Penting",IF(E12=3,"Sedikit Lebih Penting",IF(E12=5,"Lebih Penting",IF(E12=7,"Sangat Lebih Penting",IF(E12=9,"Mutlak Lebih Penting","Nilai Antara")))))</f>
      </c>
    </row>
    <row r="13">
      <c r="A13">
        <v>9</v>
      </c>
      <c r="B13" t="str">
        <v>RT2</v>
      </c>
      <c r="C13" t="str">
        <v>RT5</v>
      </c>
      <c r="D13" t="str">
        <v>A</v>
      </c>
      <c r="E13">
        <v>1</v>
      </c>
      <c r="F13">
        <f>IF(E13=1,"Sama Penting",IF(E13=3,"Sedikit Lebih Penting",IF(E13=5,"Lebih Penting",IF(E13=7,"Sangat Lebih Penting",IF(E13=9,"Mutlak Lebih Penting","Nilai Antara")))))</f>
      </c>
    </row>
    <row r="14">
      <c r="A14">
        <v>10</v>
      </c>
      <c r="B14" t="str">
        <v>RT2</v>
      </c>
      <c r="C14" t="str">
        <v>RT6</v>
      </c>
      <c r="D14" t="str">
        <v>A</v>
      </c>
      <c r="E14">
        <v>1</v>
      </c>
      <c r="F14">
        <f>IF(E14=1,"Sama Penting",IF(E14=3,"Sedikit Lebih Penting",IF(E14=5,"Lebih Penting",IF(E14=7,"Sangat Lebih Penting",IF(E14=9,"Mutlak Lebih Penting","Nilai Antara")))))</f>
      </c>
    </row>
    <row r="15">
      <c r="A15">
        <v>11</v>
      </c>
      <c r="B15" t="str">
        <v>RT2</v>
      </c>
      <c r="C15" t="str">
        <v>RT7</v>
      </c>
      <c r="D15" t="str">
        <v>A</v>
      </c>
      <c r="E15">
        <v>2</v>
      </c>
      <c r="F15">
        <f>IF(E15=1,"Sama Penting",IF(E15=3,"Sedikit Lebih Penting",IF(E15=5,"Lebih Penting",IF(E15=7,"Sangat Lebih Penting",IF(E15=9,"Mutlak Lebih Penting","Nilai Antara")))))</f>
      </c>
    </row>
    <row r="16">
      <c r="A16">
        <v>12</v>
      </c>
      <c r="B16" t="str">
        <v>RT3</v>
      </c>
      <c r="C16" t="str">
        <v>RT4</v>
      </c>
      <c r="D16" t="str">
        <v>A</v>
      </c>
      <c r="E16">
        <v>1</v>
      </c>
      <c r="F16">
        <f>IF(E16=1,"Sama Penting",IF(E16=3,"Sedikit Lebih Penting",IF(E16=5,"Lebih Penting",IF(E16=7,"Sangat Lebih Penting",IF(E16=9,"Mutlak Lebih Penting","Nilai Antara")))))</f>
      </c>
    </row>
    <row r="17">
      <c r="A17">
        <v>13</v>
      </c>
      <c r="B17" t="str">
        <v>RT3</v>
      </c>
      <c r="C17" t="str">
        <v>RT5</v>
      </c>
      <c r="D17" t="str">
        <v>A</v>
      </c>
      <c r="E17">
        <v>1</v>
      </c>
      <c r="F17">
        <f>IF(E17=1,"Sama Penting",IF(E17=3,"Sedikit Lebih Penting",IF(E17=5,"Lebih Penting",IF(E17=7,"Sangat Lebih Penting",IF(E17=9,"Mutlak Lebih Penting","Nilai Antara")))))</f>
      </c>
    </row>
    <row r="18">
      <c r="A18">
        <v>14</v>
      </c>
      <c r="B18" t="str">
        <v>RT3</v>
      </c>
      <c r="C18" t="str">
        <v>RT6</v>
      </c>
      <c r="D18" t="str">
        <v>A</v>
      </c>
      <c r="E18">
        <v>1</v>
      </c>
      <c r="F18">
        <f>IF(E18=1,"Sama Penting",IF(E18=3,"Sedikit Lebih Penting",IF(E18=5,"Lebih Penting",IF(E18=7,"Sangat Lebih Penting",IF(E18=9,"Mutlak Lebih Penting","Nilai Antara")))))</f>
      </c>
    </row>
    <row r="19">
      <c r="A19">
        <v>15</v>
      </c>
      <c r="B19" t="str">
        <v>RT3</v>
      </c>
      <c r="C19" t="str">
        <v>RT7</v>
      </c>
      <c r="D19" t="str">
        <v>A</v>
      </c>
      <c r="E19">
        <v>2</v>
      </c>
      <c r="F19">
        <f>IF(E19=1,"Sama Penting",IF(E19=3,"Sedikit Lebih Penting",IF(E19=5,"Lebih Penting",IF(E19=7,"Sangat Lebih Penting",IF(E19=9,"Mutlak Lebih Penting","Nilai Antara")))))</f>
      </c>
    </row>
    <row r="20">
      <c r="A20">
        <v>16</v>
      </c>
      <c r="B20" t="str">
        <v>RT4</v>
      </c>
      <c r="C20" t="str">
        <v>RT5</v>
      </c>
      <c r="D20" t="str">
        <v>A</v>
      </c>
      <c r="E20">
        <v>1</v>
      </c>
      <c r="F20">
        <f>IF(E20=1,"Sama Penting",IF(E20=3,"Sedikit Lebih Penting",IF(E20=5,"Lebih Penting",IF(E20=7,"Sangat Lebih Penting",IF(E20=9,"Mutlak Lebih Penting","Nilai Antara")))))</f>
      </c>
    </row>
    <row r="21">
      <c r="A21">
        <v>17</v>
      </c>
      <c r="B21" t="str">
        <v>RT4</v>
      </c>
      <c r="C21" t="str">
        <v>RT6</v>
      </c>
      <c r="D21" t="str">
        <v>A</v>
      </c>
      <c r="E21">
        <v>1</v>
      </c>
      <c r="F21">
        <f>IF(E21=1,"Sama Penting",IF(E21=3,"Sedikit Lebih Penting",IF(E21=5,"Lebih Penting",IF(E21=7,"Sangat Lebih Penting",IF(E21=9,"Mutlak Lebih Penting","Nilai Antara")))))</f>
      </c>
    </row>
    <row r="22">
      <c r="A22">
        <v>18</v>
      </c>
      <c r="B22" t="str">
        <v>RT4</v>
      </c>
      <c r="C22" t="str">
        <v>RT7</v>
      </c>
      <c r="D22" t="str">
        <v>A</v>
      </c>
      <c r="E22">
        <v>1</v>
      </c>
      <c r="F22">
        <f>IF(E22=1,"Sama Penting",IF(E22=3,"Sedikit Lebih Penting",IF(E22=5,"Lebih Penting",IF(E22=7,"Sangat Lebih Penting",IF(E22=9,"Mutlak Lebih Penting","Nilai Antara")))))</f>
      </c>
    </row>
    <row r="23">
      <c r="A23">
        <v>19</v>
      </c>
      <c r="B23" t="str">
        <v>RT5</v>
      </c>
      <c r="C23" t="str">
        <v>RT6</v>
      </c>
      <c r="D23" t="str">
        <v>A</v>
      </c>
      <c r="E23">
        <v>1</v>
      </c>
      <c r="F23">
        <f>IF(E23=1,"Sama Penting",IF(E23=3,"Sedikit Lebih Penting",IF(E23=5,"Lebih Penting",IF(E23=7,"Sangat Lebih Penting",IF(E23=9,"Mutlak Lebih Penting","Nilai Antara")))))</f>
      </c>
    </row>
    <row r="24">
      <c r="A24">
        <v>20</v>
      </c>
      <c r="B24" t="str">
        <v>RT5</v>
      </c>
      <c r="C24" t="str">
        <v>RT7</v>
      </c>
      <c r="D24" t="str">
        <v>A</v>
      </c>
      <c r="E24">
        <v>1</v>
      </c>
      <c r="F24">
        <f>IF(E24=1,"Sama Penting",IF(E24=3,"Sedikit Lebih Penting",IF(E24=5,"Lebih Penting",IF(E24=7,"Sangat Lebih Penting",IF(E24=9,"Mutlak Lebih Penting","Nilai Antara")))))</f>
      </c>
    </row>
    <row r="25">
      <c r="A25">
        <v>21</v>
      </c>
      <c r="B25" t="str">
        <v>RT6</v>
      </c>
      <c r="C25" t="str">
        <v>RT7</v>
      </c>
      <c r="D25" t="str">
        <v>A</v>
      </c>
      <c r="E25">
        <v>1</v>
      </c>
      <c r="F25">
        <f>IF(E25=1,"Sama Penting",IF(E25=3,"Sedikit Lebih Penting",IF(E25=5,"Lebih Penting",IF(E25=7,"Sangat Lebih Penting",IF(E25=9,"Mutlak Lebih Penting","Nilai Antara")))))</f>
      </c>
    </row>
    <row r="28">
      <c r="A28" t="str">
        <v>Tabel Random Index (RI) — Saaty</v>
      </c>
    </row>
    <row r="29">
      <c r="A29" t="str">
        <v>n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</row>
    <row r="30">
      <c r="A30" t="str">
        <v>RI</v>
      </c>
      <c r="B30">
        <v>0</v>
      </c>
      <c r="C30">
        <v>0</v>
      </c>
      <c r="D30">
        <v>0.58</v>
      </c>
      <c r="E30">
        <v>0.9</v>
      </c>
      <c r="F30">
        <v>1.12</v>
      </c>
      <c r="G30">
        <v>1.24</v>
      </c>
      <c r="H30">
        <v>1.32</v>
      </c>
      <c r="I30">
        <v>1.41</v>
      </c>
      <c r="J30">
        <v>1.45</v>
      </c>
      <c r="K30">
        <v>1.49</v>
      </c>
    </row>
    <row r="32">
      <c r="A32" t="str">
        <v>Skala Saaty → TFN (Triangular Fuzzy Number)</v>
      </c>
    </row>
    <row r="33">
      <c r="A33" t="str">
        <v>Skala</v>
      </c>
      <c r="B33" t="str">
        <v>l</v>
      </c>
      <c r="C33" t="str">
        <v>m</v>
      </c>
      <c r="D33" t="str">
        <v>u</v>
      </c>
    </row>
    <row r="34">
      <c r="A34">
        <v>1</v>
      </c>
      <c r="B34">
        <v>1</v>
      </c>
      <c r="C34">
        <v>1</v>
      </c>
      <c r="D34">
        <v>1</v>
      </c>
    </row>
    <row r="35">
      <c r="A35">
        <v>2</v>
      </c>
      <c r="B35">
        <v>1</v>
      </c>
      <c r="C35">
        <v>2</v>
      </c>
      <c r="D35">
        <v>3</v>
      </c>
    </row>
    <row r="36">
      <c r="A36">
        <v>3</v>
      </c>
      <c r="B36">
        <v>1</v>
      </c>
      <c r="C36">
        <v>3</v>
      </c>
      <c r="D36">
        <v>5</v>
      </c>
    </row>
    <row r="37">
      <c r="A37">
        <v>4</v>
      </c>
      <c r="B37">
        <v>3</v>
      </c>
      <c r="C37">
        <v>4</v>
      </c>
      <c r="D37">
        <v>5</v>
      </c>
    </row>
    <row r="38">
      <c r="A38">
        <v>5</v>
      </c>
      <c r="B38">
        <v>3</v>
      </c>
      <c r="C38">
        <v>5</v>
      </c>
      <c r="D38">
        <v>7</v>
      </c>
    </row>
    <row r="39">
      <c r="A39">
        <v>6</v>
      </c>
      <c r="B39">
        <v>5</v>
      </c>
      <c r="C39">
        <v>6</v>
      </c>
      <c r="D39">
        <v>7</v>
      </c>
    </row>
    <row r="40">
      <c r="A40">
        <v>7</v>
      </c>
      <c r="B40">
        <v>5</v>
      </c>
      <c r="C40">
        <v>7</v>
      </c>
      <c r="D40">
        <v>9</v>
      </c>
    </row>
    <row r="41">
      <c r="A41">
        <v>8</v>
      </c>
      <c r="B41">
        <v>7</v>
      </c>
      <c r="C41">
        <v>8</v>
      </c>
      <c r="D41">
        <v>9</v>
      </c>
    </row>
    <row r="42">
      <c r="A42">
        <v>9</v>
      </c>
      <c r="B42">
        <v>7</v>
      </c>
      <c r="C42">
        <v>9</v>
      </c>
      <c r="D42">
        <v>9</v>
      </c>
    </row>
  </sheetData>
  <ignoredErrors>
    <ignoredError numberStoredAsText="1" sqref="A1:K44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MATRIKS PERBANDINGAN BERPASANGAN — Level 2 — Sub-Kriteria CP9</v>
      </c>
    </row>
    <row r="2">
      <c r="A2" t="str">
        <v>Matriks perbandingan berpasangan NxN (nilai crisp Saaty)</v>
      </c>
    </row>
    <row r="3">
      <c r="A3" t="str">
        <v>Data diambil dari sheet INPUT — semua sel ini menggunakan rumus</v>
      </c>
    </row>
    <row r="5">
      <c r="A5" t="str">
        <v/>
      </c>
      <c r="B5" t="str">
        <v>RT1</v>
      </c>
      <c r="C5" t="str">
        <v>RT2</v>
      </c>
      <c r="D5" t="str">
        <v>RT3</v>
      </c>
      <c r="E5" t="str">
        <v>RT4</v>
      </c>
      <c r="F5" t="str">
        <v>RT5</v>
      </c>
      <c r="G5" t="str">
        <v>RT6</v>
      </c>
      <c r="H5" t="str">
        <v>RT7</v>
      </c>
    </row>
    <row r="6">
      <c r="A6" t="str">
        <v>RT1</v>
      </c>
      <c r="B6">
        <v>1</v>
      </c>
      <c r="C6">
        <f>IF('INPUT_CP9'!D5="A",'INPUT_CP9'!E5,1/'INPUT_CP9'!E5)</f>
      </c>
      <c r="D6">
        <f>IF('INPUT_CP9'!D6="A",'INPUT_CP9'!E6,1/'INPUT_CP9'!E6)</f>
      </c>
      <c r="E6">
        <f>IF('INPUT_CP9'!D7="A",'INPUT_CP9'!E7,1/'INPUT_CP9'!E7)</f>
      </c>
      <c r="F6">
        <f>IF('INPUT_CP9'!D8="A",'INPUT_CP9'!E8,1/'INPUT_CP9'!E8)</f>
      </c>
      <c r="G6">
        <f>IF('INPUT_CP9'!D9="A",'INPUT_CP9'!E9,1/'INPUT_CP9'!E9)</f>
      </c>
      <c r="H6">
        <f>IF('INPUT_CP9'!D10="A",'INPUT_CP9'!E10,1/'INPUT_CP9'!E10)</f>
      </c>
    </row>
    <row r="7">
      <c r="A7" t="str">
        <v>RT2</v>
      </c>
      <c r="B7">
        <f>1/C6</f>
      </c>
      <c r="C7">
        <v>1</v>
      </c>
      <c r="D7">
        <f>IF('INPUT_CP9'!D11="A",'INPUT_CP9'!E11,1/'INPUT_CP9'!E11)</f>
      </c>
      <c r="E7">
        <f>IF('INPUT_CP9'!D12="A",'INPUT_CP9'!E12,1/'INPUT_CP9'!E12)</f>
      </c>
      <c r="F7">
        <f>IF('INPUT_CP9'!D13="A",'INPUT_CP9'!E13,1/'INPUT_CP9'!E13)</f>
      </c>
      <c r="G7">
        <f>IF('INPUT_CP9'!D14="A",'INPUT_CP9'!E14,1/'INPUT_CP9'!E14)</f>
      </c>
      <c r="H7">
        <f>IF('INPUT_CP9'!D15="A",'INPUT_CP9'!E15,1/'INPUT_CP9'!E15)</f>
      </c>
    </row>
    <row r="8">
      <c r="A8" t="str">
        <v>RT3</v>
      </c>
      <c r="B8">
        <f>1/D6</f>
      </c>
      <c r="C8">
        <f>1/D7</f>
      </c>
      <c r="D8">
        <v>1</v>
      </c>
      <c r="E8">
        <f>IF('INPUT_CP9'!D16="A",'INPUT_CP9'!E16,1/'INPUT_CP9'!E16)</f>
      </c>
      <c r="F8">
        <f>IF('INPUT_CP9'!D17="A",'INPUT_CP9'!E17,1/'INPUT_CP9'!E17)</f>
      </c>
      <c r="G8">
        <f>IF('INPUT_CP9'!D18="A",'INPUT_CP9'!E18,1/'INPUT_CP9'!E18)</f>
      </c>
      <c r="H8">
        <f>IF('INPUT_CP9'!D19="A",'INPUT_CP9'!E19,1/'INPUT_CP9'!E19)</f>
      </c>
    </row>
    <row r="9">
      <c r="A9" t="str">
        <v>RT4</v>
      </c>
      <c r="B9">
        <f>1/E6</f>
      </c>
      <c r="C9">
        <f>1/E7</f>
      </c>
      <c r="D9">
        <f>1/E8</f>
      </c>
      <c r="E9">
        <v>1</v>
      </c>
      <c r="F9">
        <f>IF('INPUT_CP9'!D20="A",'INPUT_CP9'!E20,1/'INPUT_CP9'!E20)</f>
      </c>
      <c r="G9">
        <f>IF('INPUT_CP9'!D21="A",'INPUT_CP9'!E21,1/'INPUT_CP9'!E21)</f>
      </c>
      <c r="H9">
        <f>IF('INPUT_CP9'!D22="A",'INPUT_CP9'!E22,1/'INPUT_CP9'!E22)</f>
      </c>
    </row>
    <row r="10">
      <c r="A10" t="str">
        <v>RT5</v>
      </c>
      <c r="B10">
        <f>1/F6</f>
      </c>
      <c r="C10">
        <f>1/F7</f>
      </c>
      <c r="D10">
        <f>1/F8</f>
      </c>
      <c r="E10">
        <f>1/F9</f>
      </c>
      <c r="F10">
        <v>1</v>
      </c>
      <c r="G10">
        <f>IF('INPUT_CP9'!D23="A",'INPUT_CP9'!E23,1/'INPUT_CP9'!E23)</f>
      </c>
      <c r="H10">
        <f>IF('INPUT_CP9'!D24="A",'INPUT_CP9'!E24,1/'INPUT_CP9'!E24)</f>
      </c>
    </row>
    <row r="11">
      <c r="A11" t="str">
        <v>RT6</v>
      </c>
      <c r="B11">
        <f>1/G6</f>
      </c>
      <c r="C11">
        <f>1/G7</f>
      </c>
      <c r="D11">
        <f>1/G8</f>
      </c>
      <c r="E11">
        <f>1/G9</f>
      </c>
      <c r="F11">
        <f>1/G10</f>
      </c>
      <c r="G11">
        <v>1</v>
      </c>
      <c r="H11">
        <f>IF('INPUT_CP9'!D25="A",'INPUT_CP9'!E25,1/'INPUT_CP9'!E25)</f>
      </c>
    </row>
    <row r="12">
      <c r="A12" t="str">
        <v>RT7</v>
      </c>
      <c r="B12">
        <f>1/H6</f>
      </c>
      <c r="C12">
        <f>1/H7</f>
      </c>
      <c r="D12">
        <f>1/H8</f>
      </c>
      <c r="E12">
        <f>1/H9</f>
      </c>
      <c r="F12">
        <f>1/H10</f>
      </c>
      <c r="G12">
        <f>1/H11</f>
      </c>
      <c r="H12">
        <v>1</v>
      </c>
    </row>
    <row r="14">
      <c r="A14" t="str">
        <v>Jumlah Kolom</v>
      </c>
      <c r="B14">
        <f>SUM(B7:B13)</f>
      </c>
      <c r="C14">
        <f>SUM(C7:C13)</f>
      </c>
      <c r="D14">
        <f>SUM(D7:D13)</f>
      </c>
      <c r="E14">
        <f>SUM(E7:E13)</f>
      </c>
      <c r="F14">
        <f>SUM(F7:F13)</f>
      </c>
      <c r="G14">
        <f>SUM(G7:G13)</f>
      </c>
      <c r="H14">
        <f>SUM(H7:H13)</f>
      </c>
    </row>
  </sheetData>
  <ignoredErrors>
    <ignoredError numberStoredAsText="1" sqref="A1:I16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</cols>
  <sheetData>
    <row r="1">
      <c r="A1" t="str">
        <v>NORMALISASI &amp; BOBOT PRIORITAS — Level 2 — Sub-Kriteria CP9</v>
      </c>
    </row>
    <row r="2">
      <c r="A2" t="str">
        <v>Normalisasi kolom: setiap sel dibagi jumlah kolomnya</v>
      </c>
    </row>
    <row r="4">
      <c r="A4" t="str">
        <v/>
      </c>
      <c r="B4" t="str">
        <v>RT1</v>
      </c>
      <c r="C4" t="str">
        <v>RT2</v>
      </c>
      <c r="D4" t="str">
        <v>RT3</v>
      </c>
      <c r="E4" t="str">
        <v>RT4</v>
      </c>
      <c r="F4" t="str">
        <v>RT5</v>
      </c>
      <c r="G4" t="str">
        <v>RT6</v>
      </c>
      <c r="H4" t="str">
        <v>RT7</v>
      </c>
      <c r="I4" t="str">
        <v>Rata-rata (Bobot)</v>
      </c>
    </row>
    <row r="5">
      <c r="A5" t="str">
        <v>RT1</v>
      </c>
      <c r="B5">
        <f>'MATRIKS_CP9'!B6/'MATRIKS_CP9'!B14</f>
      </c>
      <c r="C5">
        <f>'MATRIKS_CP9'!C6/'MATRIKS_CP9'!C14</f>
      </c>
      <c r="D5">
        <f>'MATRIKS_CP9'!D6/'MATRIKS_CP9'!D14</f>
      </c>
      <c r="E5">
        <f>'MATRIKS_CP9'!E6/'MATRIKS_CP9'!E14</f>
      </c>
      <c r="F5">
        <f>'MATRIKS_CP9'!F6/'MATRIKS_CP9'!F14</f>
      </c>
      <c r="G5">
        <f>'MATRIKS_CP9'!G6/'MATRIKS_CP9'!G14</f>
      </c>
      <c r="H5">
        <f>'MATRIKS_CP9'!H6/'MATRIKS_CP9'!H14</f>
      </c>
      <c r="I5">
        <f>AVERAGE(B5:H5)</f>
      </c>
    </row>
    <row r="6">
      <c r="A6" t="str">
        <v>RT2</v>
      </c>
      <c r="B6">
        <f>'MATRIKS_CP9'!B7/'MATRIKS_CP9'!B14</f>
      </c>
      <c r="C6">
        <f>'MATRIKS_CP9'!C7/'MATRIKS_CP9'!C14</f>
      </c>
      <c r="D6">
        <f>'MATRIKS_CP9'!D7/'MATRIKS_CP9'!D14</f>
      </c>
      <c r="E6">
        <f>'MATRIKS_CP9'!E7/'MATRIKS_CP9'!E14</f>
      </c>
      <c r="F6">
        <f>'MATRIKS_CP9'!F7/'MATRIKS_CP9'!F14</f>
      </c>
      <c r="G6">
        <f>'MATRIKS_CP9'!G7/'MATRIKS_CP9'!G14</f>
      </c>
      <c r="H6">
        <f>'MATRIKS_CP9'!H7/'MATRIKS_CP9'!H14</f>
      </c>
      <c r="I6">
        <f>AVERAGE(B6:H6)</f>
      </c>
    </row>
    <row r="7">
      <c r="A7" t="str">
        <v>RT3</v>
      </c>
      <c r="B7">
        <f>'MATRIKS_CP9'!B8/'MATRIKS_CP9'!B14</f>
      </c>
      <c r="C7">
        <f>'MATRIKS_CP9'!C8/'MATRIKS_CP9'!C14</f>
      </c>
      <c r="D7">
        <f>'MATRIKS_CP9'!D8/'MATRIKS_CP9'!D14</f>
      </c>
      <c r="E7">
        <f>'MATRIKS_CP9'!E8/'MATRIKS_CP9'!E14</f>
      </c>
      <c r="F7">
        <f>'MATRIKS_CP9'!F8/'MATRIKS_CP9'!F14</f>
      </c>
      <c r="G7">
        <f>'MATRIKS_CP9'!G8/'MATRIKS_CP9'!G14</f>
      </c>
      <c r="H7">
        <f>'MATRIKS_CP9'!H8/'MATRIKS_CP9'!H14</f>
      </c>
      <c r="I7">
        <f>AVERAGE(B7:H7)</f>
      </c>
    </row>
    <row r="8">
      <c r="A8" t="str">
        <v>RT4</v>
      </c>
      <c r="B8">
        <f>'MATRIKS_CP9'!B9/'MATRIKS_CP9'!B14</f>
      </c>
      <c r="C8">
        <f>'MATRIKS_CP9'!C9/'MATRIKS_CP9'!C14</f>
      </c>
      <c r="D8">
        <f>'MATRIKS_CP9'!D9/'MATRIKS_CP9'!D14</f>
      </c>
      <c r="E8">
        <f>'MATRIKS_CP9'!E9/'MATRIKS_CP9'!E14</f>
      </c>
      <c r="F8">
        <f>'MATRIKS_CP9'!F9/'MATRIKS_CP9'!F14</f>
      </c>
      <c r="G8">
        <f>'MATRIKS_CP9'!G9/'MATRIKS_CP9'!G14</f>
      </c>
      <c r="H8">
        <f>'MATRIKS_CP9'!H9/'MATRIKS_CP9'!H14</f>
      </c>
      <c r="I8">
        <f>AVERAGE(B8:H8)</f>
      </c>
    </row>
    <row r="9">
      <c r="A9" t="str">
        <v>RT5</v>
      </c>
      <c r="B9">
        <f>'MATRIKS_CP9'!B10/'MATRIKS_CP9'!B14</f>
      </c>
      <c r="C9">
        <f>'MATRIKS_CP9'!C10/'MATRIKS_CP9'!C14</f>
      </c>
      <c r="D9">
        <f>'MATRIKS_CP9'!D10/'MATRIKS_CP9'!D14</f>
      </c>
      <c r="E9">
        <f>'MATRIKS_CP9'!E10/'MATRIKS_CP9'!E14</f>
      </c>
      <c r="F9">
        <f>'MATRIKS_CP9'!F10/'MATRIKS_CP9'!F14</f>
      </c>
      <c r="G9">
        <f>'MATRIKS_CP9'!G10/'MATRIKS_CP9'!G14</f>
      </c>
      <c r="H9">
        <f>'MATRIKS_CP9'!H10/'MATRIKS_CP9'!H14</f>
      </c>
      <c r="I9">
        <f>AVERAGE(B9:H9)</f>
      </c>
    </row>
    <row r="10">
      <c r="A10" t="str">
        <v>RT6</v>
      </c>
      <c r="B10">
        <f>'MATRIKS_CP9'!B11/'MATRIKS_CP9'!B14</f>
      </c>
      <c r="C10">
        <f>'MATRIKS_CP9'!C11/'MATRIKS_CP9'!C14</f>
      </c>
      <c r="D10">
        <f>'MATRIKS_CP9'!D11/'MATRIKS_CP9'!D14</f>
      </c>
      <c r="E10">
        <f>'MATRIKS_CP9'!E11/'MATRIKS_CP9'!E14</f>
      </c>
      <c r="F10">
        <f>'MATRIKS_CP9'!F11/'MATRIKS_CP9'!F14</f>
      </c>
      <c r="G10">
        <f>'MATRIKS_CP9'!G11/'MATRIKS_CP9'!G14</f>
      </c>
      <c r="H10">
        <f>'MATRIKS_CP9'!H11/'MATRIKS_CP9'!H14</f>
      </c>
      <c r="I10">
        <f>AVERAGE(B10:H10)</f>
      </c>
    </row>
    <row r="11">
      <c r="A11" t="str">
        <v>RT7</v>
      </c>
      <c r="B11">
        <f>'MATRIKS_CP9'!B12/'MATRIKS_CP9'!B14</f>
      </c>
      <c r="C11">
        <f>'MATRIKS_CP9'!C12/'MATRIKS_CP9'!C14</f>
      </c>
      <c r="D11">
        <f>'MATRIKS_CP9'!D12/'MATRIKS_CP9'!D14</f>
      </c>
      <c r="E11">
        <f>'MATRIKS_CP9'!E12/'MATRIKS_CP9'!E14</f>
      </c>
      <c r="F11">
        <f>'MATRIKS_CP9'!F12/'MATRIKS_CP9'!F14</f>
      </c>
      <c r="G11">
        <f>'MATRIKS_CP9'!G12/'MATRIKS_CP9'!G14</f>
      </c>
      <c r="H11">
        <f>'MATRIKS_CP9'!H12/'MATRIKS_CP9'!H14</f>
      </c>
      <c r="I11">
        <f>AVERAGE(B11:H11)</f>
      </c>
    </row>
    <row r="13">
      <c r="H13" t="str">
        <v>Total</v>
      </c>
      <c r="I13">
        <f>SUM(I5:I11)</f>
      </c>
    </row>
  </sheetData>
  <ignoredErrors>
    <ignoredError numberStoredAsText="1" sqref="A1:J15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KONSISTENSI (CR) — Level 2 — Sub-Kriteria CP9</v>
      </c>
    </row>
    <row r="2">
      <c r="A2" t="str">
        <v>Perhitungan Consistency Ratio (CR) — Semua menggunakan rumus Excel</v>
      </c>
    </row>
    <row r="4">
      <c r="A4" t="str">
        <v>LANGKAH 1: Aw = Matriks × Vektor Bobot</v>
      </c>
    </row>
    <row r="5">
      <c r="A5" t="str">
        <v>Kriteria</v>
      </c>
      <c r="B5" t="str">
        <v>Bobot (Wi)</v>
      </c>
      <c r="C5" t="str">
        <v>Aw</v>
      </c>
      <c r="D5" t="str">
        <v>Aw / Wi</v>
      </c>
    </row>
    <row r="6">
      <c r="A6" t="str">
        <v>RT1</v>
      </c>
      <c r="B6">
        <f>'NORM_CP9'!I5</f>
      </c>
      <c r="C6">
        <f>SUMPRODUCT('MATRIKS_CP9'!B6:'MATRIKS_CP9'!H6,$B6:$B12)</f>
      </c>
      <c r="D6">
        <f>C6/B6</f>
      </c>
    </row>
    <row r="7">
      <c r="A7" t="str">
        <v>RT2</v>
      </c>
      <c r="B7">
        <f>'NORM_CP9'!I6</f>
      </c>
      <c r="C7">
        <f>SUMPRODUCT('MATRIKS_CP9'!B7:'MATRIKS_CP9'!H7,$B6:$B12)</f>
      </c>
      <c r="D7">
        <f>C7/B7</f>
      </c>
    </row>
    <row r="8">
      <c r="A8" t="str">
        <v>RT3</v>
      </c>
      <c r="B8">
        <f>'NORM_CP9'!I7</f>
      </c>
      <c r="C8">
        <f>SUMPRODUCT('MATRIKS_CP9'!B8:'MATRIKS_CP9'!H8,$B6:$B12)</f>
      </c>
      <c r="D8">
        <f>C8/B8</f>
      </c>
    </row>
    <row r="9">
      <c r="A9" t="str">
        <v>RT4</v>
      </c>
      <c r="B9">
        <f>'NORM_CP9'!I8</f>
      </c>
      <c r="C9">
        <f>SUMPRODUCT('MATRIKS_CP9'!B9:'MATRIKS_CP9'!H9,$B6:$B12)</f>
      </c>
      <c r="D9">
        <f>C9/B9</f>
      </c>
    </row>
    <row r="10">
      <c r="A10" t="str">
        <v>RT5</v>
      </c>
      <c r="B10">
        <f>'NORM_CP9'!I9</f>
      </c>
      <c r="C10">
        <f>SUMPRODUCT('MATRIKS_CP9'!B10:'MATRIKS_CP9'!H10,$B6:$B12)</f>
      </c>
      <c r="D10">
        <f>C10/B10</f>
      </c>
    </row>
    <row r="11">
      <c r="A11" t="str">
        <v>RT6</v>
      </c>
      <c r="B11">
        <f>'NORM_CP9'!I10</f>
      </c>
      <c r="C11">
        <f>SUMPRODUCT('MATRIKS_CP9'!B11:'MATRIKS_CP9'!H11,$B6:$B12)</f>
      </c>
      <c r="D11">
        <f>C11/B11</f>
      </c>
    </row>
    <row r="12">
      <c r="A12" t="str">
        <v>RT7</v>
      </c>
      <c r="B12">
        <f>'NORM_CP9'!I11</f>
      </c>
      <c r="C12">
        <f>SUMPRODUCT('MATRIKS_CP9'!B12:'MATRIKS_CP9'!H12,$B6:$B12)</f>
      </c>
      <c r="D12">
        <f>C12/B12</f>
      </c>
    </row>
    <row r="15">
      <c r="A15" t="str">
        <v>LANGKAH 2: Perhitungan λmax, CI, CR</v>
      </c>
    </row>
    <row r="16">
      <c r="A16" t="str">
        <v>n (jumlah kriteria)</v>
      </c>
      <c r="B16">
        <v>7</v>
      </c>
    </row>
    <row r="17">
      <c r="A17" t="str">
        <v>λmax</v>
      </c>
      <c r="B17">
        <f>AVERAGE(D6:D12)</f>
      </c>
    </row>
    <row r="18">
      <c r="A18" t="str">
        <v>CI (Consistency Index)</v>
      </c>
      <c r="B18">
        <f>(B17-B16)/(B16-1)</f>
      </c>
    </row>
    <row r="19">
      <c r="A19" t="str">
        <v>RI (Random Index)</v>
      </c>
      <c r="B19">
        <v>1.32</v>
      </c>
    </row>
    <row r="20">
      <c r="A20" t="str">
        <v>CR (Consistency Ratio)</v>
      </c>
      <c r="B20">
        <f>B18/B19</f>
      </c>
    </row>
    <row r="22">
      <c r="A22" t="str">
        <v>KESIMPULAN</v>
      </c>
      <c r="B22">
        <f>IF(B20&lt;0.1,"KONSISTEN ✓ (CR &lt; 0.10)","TIDAK KONSISTEN ✗ (CR ≥ 0.10, perlu revisi)")</f>
      </c>
    </row>
    <row r="24">
      <c r="A24" t="str">
        <v>Catatan:</v>
      </c>
    </row>
    <row r="25">
      <c r="A25" t="str">
        <v>• CR &lt; 0.10 → Matriks dianggap konsisten</v>
      </c>
    </row>
    <row r="26">
      <c r="A26" t="str">
        <v>• CR ≥ 0.10 → Matriks TIDAK konsisten, perlu revisi penilaian</v>
      </c>
    </row>
    <row r="27">
      <c r="A27" t="str">
        <v>• λmax ideal ≈ n (jumlah kriteria)</v>
      </c>
    </row>
  </sheetData>
  <ignoredErrors>
    <ignoredError numberStoredAsText="1" sqref="A1:E29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MATRIKS TFN FUZZY — Level 2 — Sub-Kriteria CP9</v>
      </c>
    </row>
    <row r="2">
      <c r="A2" t="str">
        <v>Konversi Skala Saaty → Triangular Fuzzy Number (TFN)</v>
      </c>
    </row>
    <row r="3">
      <c r="A3" t="str">
        <v>Setiap sel Matriks TFN terdiri dari 3 komponen: (l, m, u)</v>
      </c>
    </row>
    <row r="5">
      <c r="A5" t="str">
        <v>Tabel Referensi TFN</v>
      </c>
    </row>
    <row r="6">
      <c r="A6" t="str">
        <v>Skala</v>
      </c>
      <c r="B6" t="str">
        <v>l</v>
      </c>
      <c r="C6" t="str">
        <v>m</v>
      </c>
      <c r="D6" t="str">
        <v>u</v>
      </c>
    </row>
    <row r="7">
      <c r="A7">
        <v>1</v>
      </c>
      <c r="B7">
        <v>1</v>
      </c>
      <c r="C7">
        <v>1</v>
      </c>
      <c r="D7">
        <v>1</v>
      </c>
    </row>
    <row r="8">
      <c r="A8">
        <v>2</v>
      </c>
      <c r="B8">
        <v>1</v>
      </c>
      <c r="C8">
        <v>2</v>
      </c>
      <c r="D8">
        <v>3</v>
      </c>
    </row>
    <row r="9">
      <c r="A9">
        <v>3</v>
      </c>
      <c r="B9">
        <v>1</v>
      </c>
      <c r="C9">
        <v>3</v>
      </c>
      <c r="D9">
        <v>5</v>
      </c>
    </row>
    <row r="10">
      <c r="A10">
        <v>4</v>
      </c>
      <c r="B10">
        <v>3</v>
      </c>
      <c r="C10">
        <v>4</v>
      </c>
      <c r="D10">
        <v>5</v>
      </c>
    </row>
    <row r="11">
      <c r="A11">
        <v>5</v>
      </c>
      <c r="B11">
        <v>3</v>
      </c>
      <c r="C11">
        <v>5</v>
      </c>
      <c r="D11">
        <v>7</v>
      </c>
    </row>
    <row r="12">
      <c r="A12">
        <v>6</v>
      </c>
      <c r="B12">
        <v>5</v>
      </c>
      <c r="C12">
        <v>6</v>
      </c>
      <c r="D12">
        <v>7</v>
      </c>
    </row>
    <row r="13">
      <c r="A13">
        <v>7</v>
      </c>
      <c r="B13">
        <v>5</v>
      </c>
      <c r="C13">
        <v>7</v>
      </c>
      <c r="D13">
        <v>9</v>
      </c>
    </row>
    <row r="14">
      <c r="A14">
        <v>8</v>
      </c>
      <c r="B14">
        <v>7</v>
      </c>
      <c r="C14">
        <v>8</v>
      </c>
      <c r="D14">
        <v>9</v>
      </c>
    </row>
    <row r="15">
      <c r="A15">
        <v>9</v>
      </c>
      <c r="B15">
        <v>7</v>
      </c>
      <c r="C15">
        <v>9</v>
      </c>
      <c r="D15">
        <v>9</v>
      </c>
    </row>
    <row r="18">
      <c r="A18" t="str">
        <v>MATRIKS TFN — Komponen l (Lower)</v>
      </c>
    </row>
    <row r="19">
      <c r="A19" t="str">
        <v/>
      </c>
      <c r="B19" t="str">
        <v>RT1</v>
      </c>
      <c r="C19" t="str">
        <v>RT2</v>
      </c>
      <c r="D19" t="str">
        <v>RT3</v>
      </c>
      <c r="E19" t="str">
        <v>RT4</v>
      </c>
      <c r="F19" t="str">
        <v>RT5</v>
      </c>
      <c r="G19" t="str">
        <v>RT6</v>
      </c>
      <c r="H19" t="str">
        <v>RT7</v>
      </c>
    </row>
    <row r="20">
      <c r="A20" t="str">
        <v>RT1</v>
      </c>
      <c r="B20">
        <v>1</v>
      </c>
      <c r="C20">
        <f>IF('INPUT_CP9'!D5="A",VLOOKUP('INPUT_CP9'!E5,$A$7:$D$15,2,FALSE),1/VLOOKUP('INPUT_CP9'!E5,$A$7:$D$15,4,FALSE))</f>
      </c>
      <c r="D20">
        <f>IF('INPUT_CP9'!D6="A",VLOOKUP('INPUT_CP9'!E6,$A$7:$D$15,2,FALSE),1/VLOOKUP('INPUT_CP9'!E6,$A$7:$D$15,4,FALSE))</f>
      </c>
      <c r="E20">
        <f>IF('INPUT_CP9'!D7="A",VLOOKUP('INPUT_CP9'!E7,$A$7:$D$15,2,FALSE),1/VLOOKUP('INPUT_CP9'!E7,$A$7:$D$15,4,FALSE))</f>
      </c>
      <c r="F20">
        <f>IF('INPUT_CP9'!D8="A",VLOOKUP('INPUT_CP9'!E8,$A$7:$D$15,2,FALSE),1/VLOOKUP('INPUT_CP9'!E8,$A$7:$D$15,4,FALSE))</f>
      </c>
      <c r="G20">
        <f>IF('INPUT_CP9'!D9="A",VLOOKUP('INPUT_CP9'!E9,$A$7:$D$15,2,FALSE),1/VLOOKUP('INPUT_CP9'!E9,$A$7:$D$15,4,FALSE))</f>
      </c>
      <c r="H20">
        <f>IF('INPUT_CP9'!D10="A",VLOOKUP('INPUT_CP9'!E10,$A$7:$D$15,2,FALSE),1/VLOOKUP('INPUT_CP9'!E10,$A$7:$D$15,4,FALSE))</f>
      </c>
      <c r="I20" t="str">
        <v>Σ Baris</v>
      </c>
    </row>
    <row r="21">
      <c r="A21" t="str">
        <v>RT2</v>
      </c>
      <c r="B21">
        <f>IF('INPUT_CP9'!D5="A",1/VLOOKUP('INPUT_CP9'!E5,$A$7:$D$15,4,FALSE),VLOOKUP('INPUT_CP9'!E5,$A$7:$D$15,2,FALSE))</f>
      </c>
      <c r="C21">
        <v>1</v>
      </c>
      <c r="D21">
        <f>IF('INPUT_CP9'!D11="A",VLOOKUP('INPUT_CP9'!E11,$A$7:$D$15,2,FALSE),1/VLOOKUP('INPUT_CP9'!E11,$A$7:$D$15,4,FALSE))</f>
      </c>
      <c r="E21">
        <f>IF('INPUT_CP9'!D12="A",VLOOKUP('INPUT_CP9'!E12,$A$7:$D$15,2,FALSE),1/VLOOKUP('INPUT_CP9'!E12,$A$7:$D$15,4,FALSE))</f>
      </c>
      <c r="F21">
        <f>IF('INPUT_CP9'!D13="A",VLOOKUP('INPUT_CP9'!E13,$A$7:$D$15,2,FALSE),1/VLOOKUP('INPUT_CP9'!E13,$A$7:$D$15,4,FALSE))</f>
      </c>
      <c r="G21">
        <f>IF('INPUT_CP9'!D14="A",VLOOKUP('INPUT_CP9'!E14,$A$7:$D$15,2,FALSE),1/VLOOKUP('INPUT_CP9'!E14,$A$7:$D$15,4,FALSE))</f>
      </c>
      <c r="H21">
        <f>IF('INPUT_CP9'!D15="A",VLOOKUP('INPUT_CP9'!E15,$A$7:$D$15,2,FALSE),1/VLOOKUP('INPUT_CP9'!E15,$A$7:$D$15,4,FALSE))</f>
      </c>
      <c r="I21">
        <f>SUM(B21:H21)</f>
      </c>
    </row>
    <row r="22">
      <c r="A22" t="str">
        <v>RT3</v>
      </c>
      <c r="B22">
        <f>IF('INPUT_CP9'!D6="A",1/VLOOKUP('INPUT_CP9'!E6,$A$7:$D$15,4,FALSE),VLOOKUP('INPUT_CP9'!E6,$A$7:$D$15,2,FALSE))</f>
      </c>
      <c r="C22">
        <f>IF('INPUT_CP9'!D11="A",1/VLOOKUP('INPUT_CP9'!E11,$A$7:$D$15,4,FALSE),VLOOKUP('INPUT_CP9'!E11,$A$7:$D$15,2,FALSE))</f>
      </c>
      <c r="D22">
        <v>1</v>
      </c>
      <c r="E22">
        <f>IF('INPUT_CP9'!D16="A",VLOOKUP('INPUT_CP9'!E16,$A$7:$D$15,2,FALSE),1/VLOOKUP('INPUT_CP9'!E16,$A$7:$D$15,4,FALSE))</f>
      </c>
      <c r="F22">
        <f>IF('INPUT_CP9'!D17="A",VLOOKUP('INPUT_CP9'!E17,$A$7:$D$15,2,FALSE),1/VLOOKUP('INPUT_CP9'!E17,$A$7:$D$15,4,FALSE))</f>
      </c>
      <c r="G22">
        <f>IF('INPUT_CP9'!D18="A",VLOOKUP('INPUT_CP9'!E18,$A$7:$D$15,2,FALSE),1/VLOOKUP('INPUT_CP9'!E18,$A$7:$D$15,4,FALSE))</f>
      </c>
      <c r="H22">
        <f>IF('INPUT_CP9'!D19="A",VLOOKUP('INPUT_CP9'!E19,$A$7:$D$15,2,FALSE),1/VLOOKUP('INPUT_CP9'!E19,$A$7:$D$15,4,FALSE))</f>
      </c>
      <c r="I22">
        <f>SUM(B22:H22)</f>
      </c>
    </row>
    <row r="23">
      <c r="A23" t="str">
        <v>RT4</v>
      </c>
      <c r="B23">
        <f>IF('INPUT_CP9'!D7="A",1/VLOOKUP('INPUT_CP9'!E7,$A$7:$D$15,4,FALSE),VLOOKUP('INPUT_CP9'!E7,$A$7:$D$15,2,FALSE))</f>
      </c>
      <c r="C23">
        <f>IF('INPUT_CP9'!D12="A",1/VLOOKUP('INPUT_CP9'!E12,$A$7:$D$15,4,FALSE),VLOOKUP('INPUT_CP9'!E12,$A$7:$D$15,2,FALSE))</f>
      </c>
      <c r="D23">
        <f>IF('INPUT_CP9'!D16="A",1/VLOOKUP('INPUT_CP9'!E16,$A$7:$D$15,4,FALSE),VLOOKUP('INPUT_CP9'!E16,$A$7:$D$15,2,FALSE))</f>
      </c>
      <c r="E23">
        <v>1</v>
      </c>
      <c r="F23">
        <f>IF('INPUT_CP9'!D20="A",VLOOKUP('INPUT_CP9'!E20,$A$7:$D$15,2,FALSE),1/VLOOKUP('INPUT_CP9'!E20,$A$7:$D$15,4,FALSE))</f>
      </c>
      <c r="G23">
        <f>IF('INPUT_CP9'!D21="A",VLOOKUP('INPUT_CP9'!E21,$A$7:$D$15,2,FALSE),1/VLOOKUP('INPUT_CP9'!E21,$A$7:$D$15,4,FALSE))</f>
      </c>
      <c r="H23">
        <f>IF('INPUT_CP9'!D22="A",VLOOKUP('INPUT_CP9'!E22,$A$7:$D$15,2,FALSE),1/VLOOKUP('INPUT_CP9'!E22,$A$7:$D$15,4,FALSE))</f>
      </c>
      <c r="I23">
        <f>SUM(B23:H23)</f>
      </c>
    </row>
    <row r="24">
      <c r="A24" t="str">
        <v>RT5</v>
      </c>
      <c r="B24">
        <f>IF('INPUT_CP9'!D8="A",1/VLOOKUP('INPUT_CP9'!E8,$A$7:$D$15,4,FALSE),VLOOKUP('INPUT_CP9'!E8,$A$7:$D$15,2,FALSE))</f>
      </c>
      <c r="C24">
        <f>IF('INPUT_CP9'!D13="A",1/VLOOKUP('INPUT_CP9'!E13,$A$7:$D$15,4,FALSE),VLOOKUP('INPUT_CP9'!E13,$A$7:$D$15,2,FALSE))</f>
      </c>
      <c r="D24">
        <f>IF('INPUT_CP9'!D17="A",1/VLOOKUP('INPUT_CP9'!E17,$A$7:$D$15,4,FALSE),VLOOKUP('INPUT_CP9'!E17,$A$7:$D$15,2,FALSE))</f>
      </c>
      <c r="E24">
        <f>IF('INPUT_CP9'!D20="A",1/VLOOKUP('INPUT_CP9'!E20,$A$7:$D$15,4,FALSE),VLOOKUP('INPUT_CP9'!E20,$A$7:$D$15,2,FALSE))</f>
      </c>
      <c r="F24">
        <v>1</v>
      </c>
      <c r="G24">
        <f>IF('INPUT_CP9'!D23="A",VLOOKUP('INPUT_CP9'!E23,$A$7:$D$15,2,FALSE),1/VLOOKUP('INPUT_CP9'!E23,$A$7:$D$15,4,FALSE))</f>
      </c>
      <c r="H24">
        <f>IF('INPUT_CP9'!D24="A",VLOOKUP('INPUT_CP9'!E24,$A$7:$D$15,2,FALSE),1/VLOOKUP('INPUT_CP9'!E24,$A$7:$D$15,4,FALSE))</f>
      </c>
      <c r="I24">
        <f>SUM(B24:H24)</f>
      </c>
    </row>
    <row r="25">
      <c r="A25" t="str">
        <v>RT6</v>
      </c>
      <c r="B25">
        <f>IF('INPUT_CP9'!D9="A",1/VLOOKUP('INPUT_CP9'!E9,$A$7:$D$15,4,FALSE),VLOOKUP('INPUT_CP9'!E9,$A$7:$D$15,2,FALSE))</f>
      </c>
      <c r="C25">
        <f>IF('INPUT_CP9'!D14="A",1/VLOOKUP('INPUT_CP9'!E14,$A$7:$D$15,4,FALSE),VLOOKUP('INPUT_CP9'!E14,$A$7:$D$15,2,FALSE))</f>
      </c>
      <c r="D25">
        <f>IF('INPUT_CP9'!D18="A",1/VLOOKUP('INPUT_CP9'!E18,$A$7:$D$15,4,FALSE),VLOOKUP('INPUT_CP9'!E18,$A$7:$D$15,2,FALSE))</f>
      </c>
      <c r="E25">
        <f>IF('INPUT_CP9'!D21="A",1/VLOOKUP('INPUT_CP9'!E21,$A$7:$D$15,4,FALSE),VLOOKUP('INPUT_CP9'!E21,$A$7:$D$15,2,FALSE))</f>
      </c>
      <c r="F25">
        <f>IF('INPUT_CP9'!D23="A",1/VLOOKUP('INPUT_CP9'!E23,$A$7:$D$15,4,FALSE),VLOOKUP('INPUT_CP9'!E23,$A$7:$D$15,2,FALSE))</f>
      </c>
      <c r="G25">
        <v>1</v>
      </c>
      <c r="H25">
        <f>IF('INPUT_CP9'!D25="A",VLOOKUP('INPUT_CP9'!E25,$A$7:$D$15,2,FALSE),1/VLOOKUP('INPUT_CP9'!E25,$A$7:$D$15,4,FALSE))</f>
      </c>
      <c r="I25">
        <f>SUM(B25:H25)</f>
      </c>
    </row>
    <row r="26">
      <c r="A26" t="str">
        <v>RT7</v>
      </c>
      <c r="B26">
        <f>IF('INPUT_CP9'!D10="A",1/VLOOKUP('INPUT_CP9'!E10,$A$7:$D$15,4,FALSE),VLOOKUP('INPUT_CP9'!E10,$A$7:$D$15,2,FALSE))</f>
      </c>
      <c r="C26">
        <f>IF('INPUT_CP9'!D15="A",1/VLOOKUP('INPUT_CP9'!E15,$A$7:$D$15,4,FALSE),VLOOKUP('INPUT_CP9'!E15,$A$7:$D$15,2,FALSE))</f>
      </c>
      <c r="D26">
        <f>IF('INPUT_CP9'!D19="A",1/VLOOKUP('INPUT_CP9'!E19,$A$7:$D$15,4,FALSE),VLOOKUP('INPUT_CP9'!E19,$A$7:$D$15,2,FALSE))</f>
      </c>
      <c r="E26">
        <f>IF('INPUT_CP9'!D22="A",1/VLOOKUP('INPUT_CP9'!E22,$A$7:$D$15,4,FALSE),VLOOKUP('INPUT_CP9'!E22,$A$7:$D$15,2,FALSE))</f>
      </c>
      <c r="F26">
        <f>IF('INPUT_CP9'!D24="A",1/VLOOKUP('INPUT_CP9'!E24,$A$7:$D$15,4,FALSE),VLOOKUP('INPUT_CP9'!E24,$A$7:$D$15,2,FALSE))</f>
      </c>
      <c r="G26">
        <f>IF('INPUT_CP9'!D25="A",1/VLOOKUP('INPUT_CP9'!E25,$A$7:$D$15,4,FALSE),VLOOKUP('INPUT_CP9'!E25,$A$7:$D$15,2,FALSE))</f>
      </c>
      <c r="H26">
        <v>1</v>
      </c>
      <c r="I26">
        <f>SUM(B26:H26)</f>
      </c>
    </row>
    <row r="27">
      <c r="I27">
        <f>SUM(B27:H27)</f>
      </c>
    </row>
    <row r="28">
      <c r="A28" t="str">
        <v>TOTAL</v>
      </c>
      <c r="I28">
        <f>SUM(I21:I27)</f>
      </c>
    </row>
    <row r="29">
      <c r="I29">
        <f>SUM(B22:H22)</f>
      </c>
    </row>
    <row r="30">
      <c r="I30">
        <f>SUM(B23:H23)</f>
      </c>
    </row>
    <row r="31">
      <c r="A31" t="str">
        <v>MATRIKS TFN — Komponen m (Middle)</v>
      </c>
      <c r="I31">
        <f>SUM(B24:H24)</f>
      </c>
    </row>
    <row r="32">
      <c r="A32" t="str">
        <v/>
      </c>
      <c r="B32" t="str">
        <v>RT1</v>
      </c>
      <c r="C32" t="str">
        <v>RT2</v>
      </c>
      <c r="D32" t="str">
        <v>RT3</v>
      </c>
      <c r="E32" t="str">
        <v>RT4</v>
      </c>
      <c r="F32" t="str">
        <v>RT5</v>
      </c>
      <c r="G32" t="str">
        <v>RT6</v>
      </c>
      <c r="H32" t="str">
        <v>RT7</v>
      </c>
      <c r="I32" t="str">
        <v>Σ Baris</v>
      </c>
    </row>
    <row r="33">
      <c r="A33" t="str">
        <v>RT1</v>
      </c>
      <c r="B33">
        <v>1</v>
      </c>
      <c r="C33">
        <f>IF('INPUT_CP9'!D5="A",VLOOKUP('INPUT_CP9'!E5,$A$7:$D$15,3,FALSE),1/VLOOKUP('INPUT_CP9'!E5,$A$7:$D$15,3,FALSE))</f>
      </c>
      <c r="D33">
        <f>IF('INPUT_CP9'!D6="A",VLOOKUP('INPUT_CP9'!E6,$A$7:$D$15,3,FALSE),1/VLOOKUP('INPUT_CP9'!E6,$A$7:$D$15,3,FALSE))</f>
      </c>
      <c r="E33">
        <f>IF('INPUT_CP9'!D7="A",VLOOKUP('INPUT_CP9'!E7,$A$7:$D$15,3,FALSE),1/VLOOKUP('INPUT_CP9'!E7,$A$7:$D$15,3,FALSE))</f>
      </c>
      <c r="F33">
        <f>IF('INPUT_CP9'!D8="A",VLOOKUP('INPUT_CP9'!E8,$A$7:$D$15,3,FALSE),1/VLOOKUP('INPUT_CP9'!E8,$A$7:$D$15,3,FALSE))</f>
      </c>
      <c r="G33">
        <f>IF('INPUT_CP9'!D9="A",VLOOKUP('INPUT_CP9'!E9,$A$7:$D$15,3,FALSE),1/VLOOKUP('INPUT_CP9'!E9,$A$7:$D$15,3,FALSE))</f>
      </c>
      <c r="H33">
        <f>IF('INPUT_CP9'!D10="A",VLOOKUP('INPUT_CP9'!E10,$A$7:$D$15,3,FALSE),1/VLOOKUP('INPUT_CP9'!E10,$A$7:$D$15,3,FALSE))</f>
      </c>
      <c r="I33">
        <f>SUM(B33:H33)</f>
      </c>
    </row>
    <row r="34">
      <c r="A34" t="str">
        <v>RT2</v>
      </c>
      <c r="B34">
        <f>IF('INPUT_CP9'!D5="A",1/VLOOKUP('INPUT_CP9'!E5,$A$7:$D$15,3,FALSE),VLOOKUP('INPUT_CP9'!E5,$A$7:$D$15,3,FALSE))</f>
      </c>
      <c r="C34">
        <v>1</v>
      </c>
      <c r="D34">
        <f>IF('INPUT_CP9'!D11="A",VLOOKUP('INPUT_CP9'!E11,$A$7:$D$15,3,FALSE),1/VLOOKUP('INPUT_CP9'!E11,$A$7:$D$15,3,FALSE))</f>
      </c>
      <c r="E34">
        <f>IF('INPUT_CP9'!D12="A",VLOOKUP('INPUT_CP9'!E12,$A$7:$D$15,3,FALSE),1/VLOOKUP('INPUT_CP9'!E12,$A$7:$D$15,3,FALSE))</f>
      </c>
      <c r="F34">
        <f>IF('INPUT_CP9'!D13="A",VLOOKUP('INPUT_CP9'!E13,$A$7:$D$15,3,FALSE),1/VLOOKUP('INPUT_CP9'!E13,$A$7:$D$15,3,FALSE))</f>
      </c>
      <c r="G34">
        <f>IF('INPUT_CP9'!D14="A",VLOOKUP('INPUT_CP9'!E14,$A$7:$D$15,3,FALSE),1/VLOOKUP('INPUT_CP9'!E14,$A$7:$D$15,3,FALSE))</f>
      </c>
      <c r="H34">
        <f>IF('INPUT_CP9'!D15="A",VLOOKUP('INPUT_CP9'!E15,$A$7:$D$15,3,FALSE),1/VLOOKUP('INPUT_CP9'!E15,$A$7:$D$15,3,FALSE))</f>
      </c>
      <c r="I34">
        <f>SUM(B34:H34)</f>
      </c>
    </row>
    <row r="35">
      <c r="A35" t="str">
        <v>RT3</v>
      </c>
      <c r="B35">
        <f>IF('INPUT_CP9'!D6="A",1/VLOOKUP('INPUT_CP9'!E6,$A$7:$D$15,3,FALSE),VLOOKUP('INPUT_CP9'!E6,$A$7:$D$15,3,FALSE))</f>
      </c>
      <c r="C35">
        <f>IF('INPUT_CP9'!D11="A",1/VLOOKUP('INPUT_CP9'!E11,$A$7:$D$15,3,FALSE),VLOOKUP('INPUT_CP9'!E11,$A$7:$D$15,3,FALSE))</f>
      </c>
      <c r="D35">
        <v>1</v>
      </c>
      <c r="E35">
        <f>IF('INPUT_CP9'!D16="A",VLOOKUP('INPUT_CP9'!E16,$A$7:$D$15,3,FALSE),1/VLOOKUP('INPUT_CP9'!E16,$A$7:$D$15,3,FALSE))</f>
      </c>
      <c r="F35">
        <f>IF('INPUT_CP9'!D17="A",VLOOKUP('INPUT_CP9'!E17,$A$7:$D$15,3,FALSE),1/VLOOKUP('INPUT_CP9'!E17,$A$7:$D$15,3,FALSE))</f>
      </c>
      <c r="G35">
        <f>IF('INPUT_CP9'!D18="A",VLOOKUP('INPUT_CP9'!E18,$A$7:$D$15,3,FALSE),1/VLOOKUP('INPUT_CP9'!E18,$A$7:$D$15,3,FALSE))</f>
      </c>
      <c r="H35">
        <f>IF('INPUT_CP9'!D19="A",VLOOKUP('INPUT_CP9'!E19,$A$7:$D$15,3,FALSE),1/VLOOKUP('INPUT_CP9'!E19,$A$7:$D$15,3,FALSE))</f>
      </c>
      <c r="I35">
        <f>SUM(B35:H35)</f>
      </c>
    </row>
    <row r="36">
      <c r="A36" t="str">
        <v>RT4</v>
      </c>
      <c r="B36">
        <f>IF('INPUT_CP9'!D7="A",1/VLOOKUP('INPUT_CP9'!E7,$A$7:$D$15,3,FALSE),VLOOKUP('INPUT_CP9'!E7,$A$7:$D$15,3,FALSE))</f>
      </c>
      <c r="C36">
        <f>IF('INPUT_CP9'!D12="A",1/VLOOKUP('INPUT_CP9'!E12,$A$7:$D$15,3,FALSE),VLOOKUP('INPUT_CP9'!E12,$A$7:$D$15,3,FALSE))</f>
      </c>
      <c r="D36">
        <f>IF('INPUT_CP9'!D16="A",1/VLOOKUP('INPUT_CP9'!E16,$A$7:$D$15,3,FALSE),VLOOKUP('INPUT_CP9'!E16,$A$7:$D$15,3,FALSE))</f>
      </c>
      <c r="E36">
        <v>1</v>
      </c>
      <c r="F36">
        <f>IF('INPUT_CP9'!D20="A",VLOOKUP('INPUT_CP9'!E20,$A$7:$D$15,3,FALSE),1/VLOOKUP('INPUT_CP9'!E20,$A$7:$D$15,3,FALSE))</f>
      </c>
      <c r="G36">
        <f>IF('INPUT_CP9'!D21="A",VLOOKUP('INPUT_CP9'!E21,$A$7:$D$15,3,FALSE),1/VLOOKUP('INPUT_CP9'!E21,$A$7:$D$15,3,FALSE))</f>
      </c>
      <c r="H36">
        <f>IF('INPUT_CP9'!D22="A",VLOOKUP('INPUT_CP9'!E22,$A$7:$D$15,3,FALSE),1/VLOOKUP('INPUT_CP9'!E22,$A$7:$D$15,3,FALSE))</f>
      </c>
      <c r="I36">
        <f>SUM(B36:H36)</f>
      </c>
    </row>
    <row r="37">
      <c r="A37" t="str">
        <v>RT5</v>
      </c>
      <c r="B37">
        <f>IF('INPUT_CP9'!D8="A",1/VLOOKUP('INPUT_CP9'!E8,$A$7:$D$15,3,FALSE),VLOOKUP('INPUT_CP9'!E8,$A$7:$D$15,3,FALSE))</f>
      </c>
      <c r="C37">
        <f>IF('INPUT_CP9'!D13="A",1/VLOOKUP('INPUT_CP9'!E13,$A$7:$D$15,3,FALSE),VLOOKUP('INPUT_CP9'!E13,$A$7:$D$15,3,FALSE))</f>
      </c>
      <c r="D37">
        <f>IF('INPUT_CP9'!D17="A",1/VLOOKUP('INPUT_CP9'!E17,$A$7:$D$15,3,FALSE),VLOOKUP('INPUT_CP9'!E17,$A$7:$D$15,3,FALSE))</f>
      </c>
      <c r="E37">
        <f>IF('INPUT_CP9'!D20="A",1/VLOOKUP('INPUT_CP9'!E20,$A$7:$D$15,3,FALSE),VLOOKUP('INPUT_CP9'!E20,$A$7:$D$15,3,FALSE))</f>
      </c>
      <c r="F37">
        <v>1</v>
      </c>
      <c r="G37">
        <f>IF('INPUT_CP9'!D23="A",VLOOKUP('INPUT_CP9'!E23,$A$7:$D$15,3,FALSE),1/VLOOKUP('INPUT_CP9'!E23,$A$7:$D$15,3,FALSE))</f>
      </c>
      <c r="H37">
        <f>IF('INPUT_CP9'!D24="A",VLOOKUP('INPUT_CP9'!E24,$A$7:$D$15,3,FALSE),1/VLOOKUP('INPUT_CP9'!E24,$A$7:$D$15,3,FALSE))</f>
      </c>
      <c r="I37">
        <f>SUM(B37:H37)</f>
      </c>
    </row>
    <row r="38">
      <c r="A38" t="str">
        <v>RT6</v>
      </c>
      <c r="B38">
        <f>IF('INPUT_CP9'!D9="A",1/VLOOKUP('INPUT_CP9'!E9,$A$7:$D$15,3,FALSE),VLOOKUP('INPUT_CP9'!E9,$A$7:$D$15,3,FALSE))</f>
      </c>
      <c r="C38">
        <f>IF('INPUT_CP9'!D14="A",1/VLOOKUP('INPUT_CP9'!E14,$A$7:$D$15,3,FALSE),VLOOKUP('INPUT_CP9'!E14,$A$7:$D$15,3,FALSE))</f>
      </c>
      <c r="D38">
        <f>IF('INPUT_CP9'!D18="A",1/VLOOKUP('INPUT_CP9'!E18,$A$7:$D$15,3,FALSE),VLOOKUP('INPUT_CP9'!E18,$A$7:$D$15,3,FALSE))</f>
      </c>
      <c r="E38">
        <f>IF('INPUT_CP9'!D21="A",1/VLOOKUP('INPUT_CP9'!E21,$A$7:$D$15,3,FALSE),VLOOKUP('INPUT_CP9'!E21,$A$7:$D$15,3,FALSE))</f>
      </c>
      <c r="F38">
        <f>IF('INPUT_CP9'!D23="A",1/VLOOKUP('INPUT_CP9'!E23,$A$7:$D$15,3,FALSE),VLOOKUP('INPUT_CP9'!E23,$A$7:$D$15,3,FALSE))</f>
      </c>
      <c r="G38">
        <v>1</v>
      </c>
      <c r="H38">
        <f>IF('INPUT_CP9'!D25="A",VLOOKUP('INPUT_CP9'!E25,$A$7:$D$15,3,FALSE),1/VLOOKUP('INPUT_CP9'!E25,$A$7:$D$15,3,FALSE))</f>
      </c>
      <c r="I38">
        <f>SUM(B38:H38)</f>
      </c>
    </row>
    <row r="39">
      <c r="A39" t="str">
        <v>RT7</v>
      </c>
      <c r="B39">
        <f>IF('INPUT_CP9'!D10="A",1/VLOOKUP('INPUT_CP9'!E10,$A$7:$D$15,3,FALSE),VLOOKUP('INPUT_CP9'!E10,$A$7:$D$15,3,FALSE))</f>
      </c>
      <c r="C39">
        <f>IF('INPUT_CP9'!D15="A",1/VLOOKUP('INPUT_CP9'!E15,$A$7:$D$15,3,FALSE),VLOOKUP('INPUT_CP9'!E15,$A$7:$D$15,3,FALSE))</f>
      </c>
      <c r="D39">
        <f>IF('INPUT_CP9'!D19="A",1/VLOOKUP('INPUT_CP9'!E19,$A$7:$D$15,3,FALSE),VLOOKUP('INPUT_CP9'!E19,$A$7:$D$15,3,FALSE))</f>
      </c>
      <c r="E39">
        <f>IF('INPUT_CP9'!D22="A",1/VLOOKUP('INPUT_CP9'!E22,$A$7:$D$15,3,FALSE),VLOOKUP('INPUT_CP9'!E22,$A$7:$D$15,3,FALSE))</f>
      </c>
      <c r="F39">
        <f>IF('INPUT_CP9'!D24="A",1/VLOOKUP('INPUT_CP9'!E24,$A$7:$D$15,3,FALSE),VLOOKUP('INPUT_CP9'!E24,$A$7:$D$15,3,FALSE))</f>
      </c>
      <c r="G39">
        <f>IF('INPUT_CP9'!D25="A",1/VLOOKUP('INPUT_CP9'!E25,$A$7:$D$15,3,FALSE),VLOOKUP('INPUT_CP9'!E25,$A$7:$D$15,3,FALSE))</f>
      </c>
      <c r="H39">
        <v>1</v>
      </c>
      <c r="I39">
        <f>SUM(B39:H39)</f>
      </c>
    </row>
    <row r="40">
      <c r="A40" t="str">
        <v>TOTAL</v>
      </c>
      <c r="I40">
        <f>SUM(I34:I40)</f>
      </c>
    </row>
    <row r="43">
      <c r="A43" t="str">
        <v>MATRIKS TFN — Komponen u (Upper)</v>
      </c>
    </row>
    <row r="44">
      <c r="A44" t="str">
        <v/>
      </c>
      <c r="B44" t="str">
        <v>RT1</v>
      </c>
      <c r="C44" t="str">
        <v>RT2</v>
      </c>
      <c r="D44" t="str">
        <v>RT3</v>
      </c>
      <c r="E44" t="str">
        <v>RT4</v>
      </c>
      <c r="F44" t="str">
        <v>RT5</v>
      </c>
      <c r="G44" t="str">
        <v>RT6</v>
      </c>
      <c r="H44" t="str">
        <v>RT7</v>
      </c>
      <c r="I44" t="str">
        <v>Σ Baris</v>
      </c>
    </row>
    <row r="45">
      <c r="A45" t="str">
        <v>RT1</v>
      </c>
      <c r="B45">
        <v>1</v>
      </c>
      <c r="C45">
        <f>IF('INPUT_CP9'!D5="A",VLOOKUP('INPUT_CP9'!E5,$A$7:$D$15,4,FALSE),1/VLOOKUP('INPUT_CP9'!E5,$A$7:$D$15,2,FALSE))</f>
      </c>
      <c r="D45">
        <f>IF('INPUT_CP9'!D6="A",VLOOKUP('INPUT_CP9'!E6,$A$7:$D$15,4,FALSE),1/VLOOKUP('INPUT_CP9'!E6,$A$7:$D$15,2,FALSE))</f>
      </c>
      <c r="E45">
        <f>IF('INPUT_CP9'!D7="A",VLOOKUP('INPUT_CP9'!E7,$A$7:$D$15,4,FALSE),1/VLOOKUP('INPUT_CP9'!E7,$A$7:$D$15,2,FALSE))</f>
      </c>
      <c r="F45">
        <f>IF('INPUT_CP9'!D8="A",VLOOKUP('INPUT_CP9'!E8,$A$7:$D$15,4,FALSE),1/VLOOKUP('INPUT_CP9'!E8,$A$7:$D$15,2,FALSE))</f>
      </c>
      <c r="G45">
        <f>IF('INPUT_CP9'!D9="A",VLOOKUP('INPUT_CP9'!E9,$A$7:$D$15,4,FALSE),1/VLOOKUP('INPUT_CP9'!E9,$A$7:$D$15,2,FALSE))</f>
      </c>
      <c r="H45">
        <f>IF('INPUT_CP9'!D10="A",VLOOKUP('INPUT_CP9'!E10,$A$7:$D$15,4,FALSE),1/VLOOKUP('INPUT_CP9'!E10,$A$7:$D$15,2,FALSE))</f>
      </c>
      <c r="I45">
        <f>SUM(B45:H45)</f>
      </c>
    </row>
    <row r="46">
      <c r="A46" t="str">
        <v>RT2</v>
      </c>
      <c r="B46">
        <f>IF('INPUT_CP9'!D5="A",1/VLOOKUP('INPUT_CP9'!E5,$A$7:$D$15,2,FALSE),VLOOKUP('INPUT_CP9'!E5,$A$7:$D$15,4,FALSE))</f>
      </c>
      <c r="C46">
        <v>1</v>
      </c>
      <c r="D46">
        <f>IF('INPUT_CP9'!D11="A",VLOOKUP('INPUT_CP9'!E11,$A$7:$D$15,4,FALSE),1/VLOOKUP('INPUT_CP9'!E11,$A$7:$D$15,2,FALSE))</f>
      </c>
      <c r="E46">
        <f>IF('INPUT_CP9'!D12="A",VLOOKUP('INPUT_CP9'!E12,$A$7:$D$15,4,FALSE),1/VLOOKUP('INPUT_CP9'!E12,$A$7:$D$15,2,FALSE))</f>
      </c>
      <c r="F46">
        <f>IF('INPUT_CP9'!D13="A",VLOOKUP('INPUT_CP9'!E13,$A$7:$D$15,4,FALSE),1/VLOOKUP('INPUT_CP9'!E13,$A$7:$D$15,2,FALSE))</f>
      </c>
      <c r="G46">
        <f>IF('INPUT_CP9'!D14="A",VLOOKUP('INPUT_CP9'!E14,$A$7:$D$15,4,FALSE),1/VLOOKUP('INPUT_CP9'!E14,$A$7:$D$15,2,FALSE))</f>
      </c>
      <c r="H46">
        <f>IF('INPUT_CP9'!D15="A",VLOOKUP('INPUT_CP9'!E15,$A$7:$D$15,4,FALSE),1/VLOOKUP('INPUT_CP9'!E15,$A$7:$D$15,2,FALSE))</f>
      </c>
      <c r="I46">
        <f>SUM(B46:H46)</f>
      </c>
    </row>
    <row r="47">
      <c r="A47" t="str">
        <v>RT3</v>
      </c>
      <c r="B47">
        <f>IF('INPUT_CP9'!D6="A",1/VLOOKUP('INPUT_CP9'!E6,$A$7:$D$15,2,FALSE),VLOOKUP('INPUT_CP9'!E6,$A$7:$D$15,4,FALSE))</f>
      </c>
      <c r="C47">
        <f>IF('INPUT_CP9'!D11="A",1/VLOOKUP('INPUT_CP9'!E11,$A$7:$D$15,2,FALSE),VLOOKUP('INPUT_CP9'!E11,$A$7:$D$15,4,FALSE))</f>
      </c>
      <c r="D47">
        <v>1</v>
      </c>
      <c r="E47">
        <f>IF('INPUT_CP9'!D16="A",VLOOKUP('INPUT_CP9'!E16,$A$7:$D$15,4,FALSE),1/VLOOKUP('INPUT_CP9'!E16,$A$7:$D$15,2,FALSE))</f>
      </c>
      <c r="F47">
        <f>IF('INPUT_CP9'!D17="A",VLOOKUP('INPUT_CP9'!E17,$A$7:$D$15,4,FALSE),1/VLOOKUP('INPUT_CP9'!E17,$A$7:$D$15,2,FALSE))</f>
      </c>
      <c r="G47">
        <f>IF('INPUT_CP9'!D18="A",VLOOKUP('INPUT_CP9'!E18,$A$7:$D$15,4,FALSE),1/VLOOKUP('INPUT_CP9'!E18,$A$7:$D$15,2,FALSE))</f>
      </c>
      <c r="H47">
        <f>IF('INPUT_CP9'!D19="A",VLOOKUP('INPUT_CP9'!E19,$A$7:$D$15,4,FALSE),1/VLOOKUP('INPUT_CP9'!E19,$A$7:$D$15,2,FALSE))</f>
      </c>
      <c r="I47">
        <f>SUM(B47:H47)</f>
      </c>
    </row>
    <row r="48">
      <c r="A48" t="str">
        <v>RT4</v>
      </c>
      <c r="B48">
        <f>IF('INPUT_CP9'!D7="A",1/VLOOKUP('INPUT_CP9'!E7,$A$7:$D$15,2,FALSE),VLOOKUP('INPUT_CP9'!E7,$A$7:$D$15,4,FALSE))</f>
      </c>
      <c r="C48">
        <f>IF('INPUT_CP9'!D12="A",1/VLOOKUP('INPUT_CP9'!E12,$A$7:$D$15,2,FALSE),VLOOKUP('INPUT_CP9'!E12,$A$7:$D$15,4,FALSE))</f>
      </c>
      <c r="D48">
        <f>IF('INPUT_CP9'!D16="A",1/VLOOKUP('INPUT_CP9'!E16,$A$7:$D$15,2,FALSE),VLOOKUP('INPUT_CP9'!E16,$A$7:$D$15,4,FALSE))</f>
      </c>
      <c r="E48">
        <v>1</v>
      </c>
      <c r="F48">
        <f>IF('INPUT_CP9'!D20="A",VLOOKUP('INPUT_CP9'!E20,$A$7:$D$15,4,FALSE),1/VLOOKUP('INPUT_CP9'!E20,$A$7:$D$15,2,FALSE))</f>
      </c>
      <c r="G48">
        <f>IF('INPUT_CP9'!D21="A",VLOOKUP('INPUT_CP9'!E21,$A$7:$D$15,4,FALSE),1/VLOOKUP('INPUT_CP9'!E21,$A$7:$D$15,2,FALSE))</f>
      </c>
      <c r="H48">
        <f>IF('INPUT_CP9'!D22="A",VLOOKUP('INPUT_CP9'!E22,$A$7:$D$15,4,FALSE),1/VLOOKUP('INPUT_CP9'!E22,$A$7:$D$15,2,FALSE))</f>
      </c>
      <c r="I48">
        <f>SUM(B48:H48)</f>
      </c>
    </row>
    <row r="49">
      <c r="A49" t="str">
        <v>RT5</v>
      </c>
      <c r="B49">
        <f>IF('INPUT_CP9'!D8="A",1/VLOOKUP('INPUT_CP9'!E8,$A$7:$D$15,2,FALSE),VLOOKUP('INPUT_CP9'!E8,$A$7:$D$15,4,FALSE))</f>
      </c>
      <c r="C49">
        <f>IF('INPUT_CP9'!D13="A",1/VLOOKUP('INPUT_CP9'!E13,$A$7:$D$15,2,FALSE),VLOOKUP('INPUT_CP9'!E13,$A$7:$D$15,4,FALSE))</f>
      </c>
      <c r="D49">
        <f>IF('INPUT_CP9'!D17="A",1/VLOOKUP('INPUT_CP9'!E17,$A$7:$D$15,2,FALSE),VLOOKUP('INPUT_CP9'!E17,$A$7:$D$15,4,FALSE))</f>
      </c>
      <c r="E49">
        <f>IF('INPUT_CP9'!D20="A",1/VLOOKUP('INPUT_CP9'!E20,$A$7:$D$15,2,FALSE),VLOOKUP('INPUT_CP9'!E20,$A$7:$D$15,4,FALSE))</f>
      </c>
      <c r="F49">
        <v>1</v>
      </c>
      <c r="G49">
        <f>IF('INPUT_CP9'!D23="A",VLOOKUP('INPUT_CP9'!E23,$A$7:$D$15,4,FALSE),1/VLOOKUP('INPUT_CP9'!E23,$A$7:$D$15,2,FALSE))</f>
      </c>
      <c r="H49">
        <f>IF('INPUT_CP9'!D24="A",VLOOKUP('INPUT_CP9'!E24,$A$7:$D$15,4,FALSE),1/VLOOKUP('INPUT_CP9'!E24,$A$7:$D$15,2,FALSE))</f>
      </c>
      <c r="I49">
        <f>SUM(B49:H49)</f>
      </c>
    </row>
    <row r="50">
      <c r="A50" t="str">
        <v>RT6</v>
      </c>
      <c r="B50">
        <f>IF('INPUT_CP9'!D9="A",1/VLOOKUP('INPUT_CP9'!E9,$A$7:$D$15,2,FALSE),VLOOKUP('INPUT_CP9'!E9,$A$7:$D$15,4,FALSE))</f>
      </c>
      <c r="C50">
        <f>IF('INPUT_CP9'!D14="A",1/VLOOKUP('INPUT_CP9'!E14,$A$7:$D$15,2,FALSE),VLOOKUP('INPUT_CP9'!E14,$A$7:$D$15,4,FALSE))</f>
      </c>
      <c r="D50">
        <f>IF('INPUT_CP9'!D18="A",1/VLOOKUP('INPUT_CP9'!E18,$A$7:$D$15,2,FALSE),VLOOKUP('INPUT_CP9'!E18,$A$7:$D$15,4,FALSE))</f>
      </c>
      <c r="E50">
        <f>IF('INPUT_CP9'!D21="A",1/VLOOKUP('INPUT_CP9'!E21,$A$7:$D$15,2,FALSE),VLOOKUP('INPUT_CP9'!E21,$A$7:$D$15,4,FALSE))</f>
      </c>
      <c r="F50">
        <f>IF('INPUT_CP9'!D23="A",1/VLOOKUP('INPUT_CP9'!E23,$A$7:$D$15,2,FALSE),VLOOKUP('INPUT_CP9'!E23,$A$7:$D$15,4,FALSE))</f>
      </c>
      <c r="G50">
        <v>1</v>
      </c>
      <c r="H50">
        <f>IF('INPUT_CP9'!D25="A",VLOOKUP('INPUT_CP9'!E25,$A$7:$D$15,4,FALSE),1/VLOOKUP('INPUT_CP9'!E25,$A$7:$D$15,2,FALSE))</f>
      </c>
      <c r="I50">
        <f>SUM(B50:H50)</f>
      </c>
    </row>
    <row r="51">
      <c r="A51" t="str">
        <v>RT7</v>
      </c>
      <c r="B51">
        <f>IF('INPUT_CP9'!D10="A",1/VLOOKUP('INPUT_CP9'!E10,$A$7:$D$15,2,FALSE),VLOOKUP('INPUT_CP9'!E10,$A$7:$D$15,4,FALSE))</f>
      </c>
      <c r="C51">
        <f>IF('INPUT_CP9'!D15="A",1/VLOOKUP('INPUT_CP9'!E15,$A$7:$D$15,2,FALSE),VLOOKUP('INPUT_CP9'!E15,$A$7:$D$15,4,FALSE))</f>
      </c>
      <c r="D51">
        <f>IF('INPUT_CP9'!D19="A",1/VLOOKUP('INPUT_CP9'!E19,$A$7:$D$15,2,FALSE),VLOOKUP('INPUT_CP9'!E19,$A$7:$D$15,4,FALSE))</f>
      </c>
      <c r="E51">
        <f>IF('INPUT_CP9'!D22="A",1/VLOOKUP('INPUT_CP9'!E22,$A$7:$D$15,2,FALSE),VLOOKUP('INPUT_CP9'!E22,$A$7:$D$15,4,FALSE))</f>
      </c>
      <c r="F51">
        <f>IF('INPUT_CP9'!D24="A",1/VLOOKUP('INPUT_CP9'!E24,$A$7:$D$15,2,FALSE),VLOOKUP('INPUT_CP9'!E24,$A$7:$D$15,4,FALSE))</f>
      </c>
      <c r="G51">
        <f>IF('INPUT_CP9'!D25="A",1/VLOOKUP('INPUT_CP9'!E25,$A$7:$D$15,2,FALSE),VLOOKUP('INPUT_CP9'!E25,$A$7:$D$15,4,FALSE))</f>
      </c>
      <c r="H51">
        <v>1</v>
      </c>
      <c r="I51">
        <f>SUM(B51:H51)</f>
      </c>
    </row>
    <row r="52">
      <c r="A52" t="str">
        <v>TOTAL</v>
      </c>
      <c r="I52">
        <f>SUM(I46:I52)</f>
      </c>
    </row>
  </sheetData>
  <ignoredErrors>
    <ignoredError numberStoredAsText="1" sqref="A1:K54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FSE &amp; BOBOT FINAL — Level 2 — Sub-Kriteria CP9</v>
      </c>
    </row>
    <row r="2">
      <c r="A2" t="str">
        <v>Fuzzy Synthetic Extent (FSE) + Defuzzifikasi + Bobot Final</v>
      </c>
    </row>
    <row r="3">
      <c r="A3" t="str">
        <v>Si = (Σ baris_i) ⊗ (Σ total)^(-1) → Defuzzifikasi: D = (l+m+u)/3 → Normalisasi</v>
      </c>
    </row>
    <row r="5">
      <c r="A5" t="str">
        <v>LANGKAH 1: Fuzzy Synthetic Extent (FSE)</v>
      </c>
    </row>
    <row r="6">
      <c r="A6" t="str">
        <v>Kriteria</v>
      </c>
      <c r="B6" t="str">
        <v>Σl_i</v>
      </c>
      <c r="C6" t="str">
        <v>Σm_i</v>
      </c>
      <c r="D6" t="str">
        <v>Σu_i</v>
      </c>
      <c r="E6" t="str">
        <v>ΣΣ_l (total)</v>
      </c>
      <c r="F6" t="str">
        <v>ΣΣ_m</v>
      </c>
      <c r="G6" t="str">
        <v>ΣΣ_u</v>
      </c>
      <c r="H6" t="str">
        <v>Si_l</v>
      </c>
      <c r="I6" t="str">
        <v>Si_m</v>
      </c>
      <c r="J6" t="str">
        <v>Si_u</v>
      </c>
    </row>
    <row r="7">
      <c r="A7" t="str">
        <v>RT1</v>
      </c>
      <c r="B7">
        <f>'FUZZY_CP9'!I21</f>
      </c>
      <c r="C7">
        <f>'FUZZY_CP9'!I34</f>
      </c>
      <c r="D7">
        <f>'FUZZY_CP9'!I46</f>
      </c>
      <c r="E7">
        <f>'FUZZY_CP9'!I28</f>
      </c>
      <c r="F7">
        <f>'FUZZY_CP9'!I40</f>
      </c>
      <c r="G7">
        <f>'FUZZY_CP9'!I52</f>
      </c>
      <c r="H7">
        <f>B7*(1/G7)</f>
      </c>
      <c r="I7">
        <f>C7*(1/F7)</f>
      </c>
      <c r="J7">
        <f>D7*(1/E7)</f>
      </c>
    </row>
    <row r="8">
      <c r="A8" t="str">
        <v>RT2</v>
      </c>
      <c r="B8">
        <f>'FUZZY_CP9'!I22</f>
      </c>
      <c r="C8">
        <f>'FUZZY_CP9'!I35</f>
      </c>
      <c r="D8">
        <f>'FUZZY_CP9'!I47</f>
      </c>
      <c r="E8">
        <f>'FUZZY_CP9'!I28</f>
      </c>
      <c r="F8">
        <f>'FUZZY_CP9'!I40</f>
      </c>
      <c r="G8">
        <f>'FUZZY_CP9'!I52</f>
      </c>
      <c r="H8">
        <f>B8*(1/G8)</f>
      </c>
      <c r="I8">
        <f>C8*(1/F8)</f>
      </c>
      <c r="J8">
        <f>D8*(1/E8)</f>
      </c>
    </row>
    <row r="9">
      <c r="A9" t="str">
        <v>RT3</v>
      </c>
      <c r="B9">
        <f>'FUZZY_CP9'!I23</f>
      </c>
      <c r="C9">
        <f>'FUZZY_CP9'!I36</f>
      </c>
      <c r="D9">
        <f>'FUZZY_CP9'!I48</f>
      </c>
      <c r="E9">
        <f>'FUZZY_CP9'!I28</f>
      </c>
      <c r="F9">
        <f>'FUZZY_CP9'!I40</f>
      </c>
      <c r="G9">
        <f>'FUZZY_CP9'!I52</f>
      </c>
      <c r="H9">
        <f>B9*(1/G9)</f>
      </c>
      <c r="I9">
        <f>C9*(1/F9)</f>
      </c>
      <c r="J9">
        <f>D9*(1/E9)</f>
      </c>
    </row>
    <row r="10">
      <c r="A10" t="str">
        <v>RT4</v>
      </c>
      <c r="B10">
        <f>'FUZZY_CP9'!I24</f>
      </c>
      <c r="C10">
        <f>'FUZZY_CP9'!I37</f>
      </c>
      <c r="D10">
        <f>'FUZZY_CP9'!I49</f>
      </c>
      <c r="E10">
        <f>'FUZZY_CP9'!I28</f>
      </c>
      <c r="F10">
        <f>'FUZZY_CP9'!I40</f>
      </c>
      <c r="G10">
        <f>'FUZZY_CP9'!I52</f>
      </c>
      <c r="H10">
        <f>B10*(1/G10)</f>
      </c>
      <c r="I10">
        <f>C10*(1/F10)</f>
      </c>
      <c r="J10">
        <f>D10*(1/E10)</f>
      </c>
    </row>
    <row r="11">
      <c r="A11" t="str">
        <v>RT5</v>
      </c>
      <c r="B11">
        <f>'FUZZY_CP9'!I25</f>
      </c>
      <c r="C11">
        <f>'FUZZY_CP9'!I38</f>
      </c>
      <c r="D11">
        <f>'FUZZY_CP9'!I50</f>
      </c>
      <c r="E11">
        <f>'FUZZY_CP9'!I28</f>
      </c>
      <c r="F11">
        <f>'FUZZY_CP9'!I40</f>
      </c>
      <c r="G11">
        <f>'FUZZY_CP9'!I52</f>
      </c>
      <c r="H11">
        <f>B11*(1/G11)</f>
      </c>
      <c r="I11">
        <f>C11*(1/F11)</f>
      </c>
      <c r="J11">
        <f>D11*(1/E11)</f>
      </c>
    </row>
    <row r="12">
      <c r="A12" t="str">
        <v>RT6</v>
      </c>
      <c r="B12">
        <f>'FUZZY_CP9'!I26</f>
      </c>
      <c r="C12">
        <f>'FUZZY_CP9'!I39</f>
      </c>
      <c r="D12">
        <f>'FUZZY_CP9'!I51</f>
      </c>
      <c r="E12">
        <f>'FUZZY_CP9'!I28</f>
      </c>
      <c r="F12">
        <f>'FUZZY_CP9'!I40</f>
      </c>
      <c r="G12">
        <f>'FUZZY_CP9'!I52</f>
      </c>
      <c r="H12">
        <f>B12*(1/G12)</f>
      </c>
      <c r="I12">
        <f>C12*(1/F12)</f>
      </c>
      <c r="J12">
        <f>D12*(1/E12)</f>
      </c>
    </row>
    <row r="13">
      <c r="A13" t="str">
        <v>RT7</v>
      </c>
      <c r="B13">
        <f>'FUZZY_CP9'!I27</f>
      </c>
      <c r="C13">
        <f>'FUZZY_CP9'!I40</f>
      </c>
      <c r="D13">
        <f>'FUZZY_CP9'!I52</f>
      </c>
      <c r="E13">
        <f>'FUZZY_CP9'!I28</f>
      </c>
      <c r="F13">
        <f>'FUZZY_CP9'!I40</f>
      </c>
      <c r="G13">
        <f>'FUZZY_CP9'!I52</f>
      </c>
      <c r="H13">
        <f>B13*(1/G13)</f>
      </c>
      <c r="I13">
        <f>C13*(1/F13)</f>
      </c>
      <c r="J13">
        <f>D13*(1/E13)</f>
      </c>
    </row>
    <row r="16">
      <c r="A16" t="str">
        <v>LANGKAH 2: Defuzzifikasi (Center of Area) + Normalisasi</v>
      </c>
    </row>
    <row r="17">
      <c r="A17" t="str">
        <v>Kriteria</v>
      </c>
      <c r="B17" t="str">
        <v>Si_l</v>
      </c>
      <c r="C17" t="str">
        <v>Si_m</v>
      </c>
      <c r="D17" t="str">
        <v>Si_u</v>
      </c>
      <c r="E17" t="str">
        <v>Defuzzy = (l+m+u)/3</v>
      </c>
      <c r="F17" t="str">
        <v>Bobot Normal</v>
      </c>
      <c r="G17" t="str">
        <v>Bobot %</v>
      </c>
      <c r="H17" t="str">
        <v>Ranking</v>
      </c>
    </row>
    <row r="18">
      <c r="A18" t="str">
        <v>RT1</v>
      </c>
      <c r="B18">
        <f>H7</f>
      </c>
      <c r="C18">
        <f>I7</f>
      </c>
      <c r="D18">
        <f>J7</f>
      </c>
      <c r="E18">
        <f>(B18+C18+D18)/3</f>
      </c>
      <c r="F18">
        <f>E18/E25</f>
      </c>
      <c r="G18">
        <f>F18*100</f>
      </c>
      <c r="H18">
        <f>RANK(F18,F$18:F$24,0)</f>
      </c>
    </row>
    <row r="19">
      <c r="A19" t="str">
        <v>RT2</v>
      </c>
      <c r="B19">
        <f>H8</f>
      </c>
      <c r="C19">
        <f>I8</f>
      </c>
      <c r="D19">
        <f>J8</f>
      </c>
      <c r="E19">
        <f>(B19+C19+D19)/3</f>
      </c>
      <c r="F19">
        <f>E19/E25</f>
      </c>
      <c r="G19">
        <f>F19*100</f>
      </c>
      <c r="H19">
        <f>RANK(F19,F$18:F$24,0)</f>
      </c>
    </row>
    <row r="20">
      <c r="A20" t="str">
        <v>RT3</v>
      </c>
      <c r="B20">
        <f>H9</f>
      </c>
      <c r="C20">
        <f>I9</f>
      </c>
      <c r="D20">
        <f>J9</f>
      </c>
      <c r="E20">
        <f>(B20+C20+D20)/3</f>
      </c>
      <c r="F20">
        <f>E20/E25</f>
      </c>
      <c r="G20">
        <f>F20*100</f>
      </c>
      <c r="H20">
        <f>RANK(F20,F$18:F$24,0)</f>
      </c>
    </row>
    <row r="21">
      <c r="A21" t="str">
        <v>RT4</v>
      </c>
      <c r="B21">
        <f>H10</f>
      </c>
      <c r="C21">
        <f>I10</f>
      </c>
      <c r="D21">
        <f>J10</f>
      </c>
      <c r="E21">
        <f>(B21+C21+D21)/3</f>
      </c>
      <c r="F21">
        <f>E21/E25</f>
      </c>
      <c r="G21">
        <f>F21*100</f>
      </c>
      <c r="H21">
        <f>RANK(F21,F$18:F$24,0)</f>
      </c>
    </row>
    <row r="22">
      <c r="A22" t="str">
        <v>RT5</v>
      </c>
      <c r="B22">
        <f>H11</f>
      </c>
      <c r="C22">
        <f>I11</f>
      </c>
      <c r="D22">
        <f>J11</f>
      </c>
      <c r="E22">
        <f>(B22+C22+D22)/3</f>
      </c>
      <c r="F22">
        <f>E22/E25</f>
      </c>
      <c r="G22">
        <f>F22*100</f>
      </c>
      <c r="H22">
        <f>RANK(F22,F$18:F$24,0)</f>
      </c>
    </row>
    <row r="23">
      <c r="A23" t="str">
        <v>RT6</v>
      </c>
      <c r="B23">
        <f>H12</f>
      </c>
      <c r="C23">
        <f>I12</f>
      </c>
      <c r="D23">
        <f>J12</f>
      </c>
      <c r="E23">
        <f>(B23+C23+D23)/3</f>
      </c>
      <c r="F23">
        <f>E23/E25</f>
      </c>
      <c r="G23">
        <f>F23*100</f>
      </c>
      <c r="H23">
        <f>RANK(F23,F$18:F$24,0)</f>
      </c>
    </row>
    <row r="24">
      <c r="A24" t="str">
        <v>RT7</v>
      </c>
      <c r="B24">
        <f>H13</f>
      </c>
      <c r="C24">
        <f>I13</f>
      </c>
      <c r="D24">
        <f>J13</f>
      </c>
      <c r="E24">
        <f>(B24+C24+D24)/3</f>
      </c>
      <c r="F24">
        <f>E24/E25</f>
      </c>
      <c r="G24">
        <f>F24*100</f>
      </c>
      <c r="H24">
        <f>RANK(F24,F$18:F$24,0)</f>
      </c>
    </row>
    <row r="25">
      <c r="D25" t="str">
        <v>TOTAL</v>
      </c>
      <c r="E25">
        <f>SUM(E18:E24)</f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INPUT_L1</vt:lpstr>
      <vt:lpstr>MATRIKS_L1</vt:lpstr>
      <vt:lpstr>NORM_L1</vt:lpstr>
      <vt:lpstr>CR_L1</vt:lpstr>
      <vt:lpstr>FUZZY_L1</vt:lpstr>
      <vt:lpstr>FSE_L1</vt:lpstr>
      <vt:lpstr>INPUT_CP1</vt:lpstr>
      <vt:lpstr>MATRIKS_CP1</vt:lpstr>
      <vt:lpstr>NORM_CP1</vt:lpstr>
      <vt:lpstr>CR_CP1</vt:lpstr>
      <vt:lpstr>FUZZY_CP1</vt:lpstr>
      <vt:lpstr>FSE_CP1</vt:lpstr>
      <vt:lpstr>INPUT_CP2</vt:lpstr>
      <vt:lpstr>MATRIKS_CP2</vt:lpstr>
      <vt:lpstr>NORM_CP2</vt:lpstr>
      <vt:lpstr>CR_CP2</vt:lpstr>
      <vt:lpstr>FUZZY_CP2</vt:lpstr>
      <vt:lpstr>FSE_CP2</vt:lpstr>
      <vt:lpstr>INPUT_CP3</vt:lpstr>
      <vt:lpstr>MATRIKS_CP3</vt:lpstr>
      <vt:lpstr>NORM_CP3</vt:lpstr>
      <vt:lpstr>CR_CP3</vt:lpstr>
      <vt:lpstr>FUZZY_CP3</vt:lpstr>
      <vt:lpstr>FSE_CP3</vt:lpstr>
      <vt:lpstr>INPUT_CP4</vt:lpstr>
      <vt:lpstr>MATRIKS_CP4</vt:lpstr>
      <vt:lpstr>NORM_CP4</vt:lpstr>
      <vt:lpstr>CR_CP4</vt:lpstr>
      <vt:lpstr>FUZZY_CP4</vt:lpstr>
      <vt:lpstr>FSE_CP4</vt:lpstr>
      <vt:lpstr>INPUT_CP5</vt:lpstr>
      <vt:lpstr>MATRIKS_CP5</vt:lpstr>
      <vt:lpstr>NORM_CP5</vt:lpstr>
      <vt:lpstr>CR_CP5</vt:lpstr>
      <vt:lpstr>FUZZY_CP5</vt:lpstr>
      <vt:lpstr>FSE_CP5</vt:lpstr>
      <vt:lpstr>INPUT_CP6</vt:lpstr>
      <vt:lpstr>MATRIKS_CP6</vt:lpstr>
      <vt:lpstr>NORM_CP6</vt:lpstr>
      <vt:lpstr>CR_CP6</vt:lpstr>
      <vt:lpstr>FUZZY_CP6</vt:lpstr>
      <vt:lpstr>FSE_CP6</vt:lpstr>
      <vt:lpstr>INPUT_CP7</vt:lpstr>
      <vt:lpstr>MATRIKS_CP7</vt:lpstr>
      <vt:lpstr>NORM_CP7</vt:lpstr>
      <vt:lpstr>CR_CP7</vt:lpstr>
      <vt:lpstr>FUZZY_CP7</vt:lpstr>
      <vt:lpstr>FSE_CP7</vt:lpstr>
      <vt:lpstr>INPUT_CP8</vt:lpstr>
      <vt:lpstr>MATRIKS_CP8</vt:lpstr>
      <vt:lpstr>NORM_CP8</vt:lpstr>
      <vt:lpstr>CR_CP8</vt:lpstr>
      <vt:lpstr>FUZZY_CP8</vt:lpstr>
      <vt:lpstr>FSE_CP8</vt:lpstr>
      <vt:lpstr>INPUT_CP9</vt:lpstr>
      <vt:lpstr>MATRIKS_CP9</vt:lpstr>
      <vt:lpstr>NORM_CP9</vt:lpstr>
      <vt:lpstr>CR_CP9</vt:lpstr>
      <vt:lpstr>FUZZY_CP9</vt:lpstr>
      <vt:lpstr>FSE_CP9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