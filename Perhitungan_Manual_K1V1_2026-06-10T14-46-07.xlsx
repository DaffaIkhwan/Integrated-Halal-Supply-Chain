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RESPONDEN" sheetId="1" r:id="rId1"/>
    <sheet name="GEOMETRIC_MEAN" sheetId="2" r:id="rId2"/>
    <sheet name="MATRIKS_TFN" sheetId="3" r:id="rId3"/>
    <sheet name="FSE_BOBOT" sheetId="4" r:id="rId4"/>
    <sheet name="KONSISTENSI_CR" sheetId="5" r:id="rId5"/>
    <sheet name="REKAP_SISTE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0"/>
  <sheetViews>
    <sheetView workbookViewId="0"/>
  </sheetViews>
  <cols>
    <col min="1" max="1" width="5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4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DATA INPUT KUESIONER K1V1 — SETIAP RESPONDEN</v>
      </c>
    </row>
    <row r="2">
      <c r="A2" t="str">
        <v>Total Responden: 21</v>
      </c>
    </row>
    <row r="3">
      <c r="A3" t="str">
        <v>Slider: -8..8 | Negatif=Kiri lebih penting | 0=Sama | Positif=Kanan lebih penting</v>
      </c>
    </row>
    <row r="5">
      <c r="A5" t="str">
        <v>TABEL REFERENSI: Slider → Fuzzy Scale → TFN</v>
      </c>
    </row>
    <row r="6">
      <c r="A6" t="str">
        <v>|Slider|</v>
      </c>
      <c r="B6" t="str">
        <v>absVal</v>
      </c>
      <c r="C6" t="str">
        <v>Fuzzy Scale</v>
      </c>
      <c r="D6" t="str">
        <v>l</v>
      </c>
      <c r="E6" t="str">
        <v>m</v>
      </c>
      <c r="F6" t="str">
        <v>u</v>
      </c>
      <c r="G6" t="str">
        <v>Keterangan</v>
      </c>
    </row>
    <row r="7">
      <c r="A7">
        <v>0</v>
      </c>
      <c r="B7">
        <v>1</v>
      </c>
      <c r="C7" t="str">
        <v>EQUAL</v>
      </c>
      <c r="D7">
        <v>1</v>
      </c>
      <c r="E7">
        <v>1</v>
      </c>
      <c r="F7">
        <v>1</v>
      </c>
      <c r="G7" t="str">
        <v>Sama penting</v>
      </c>
    </row>
    <row r="8">
      <c r="A8">
        <v>1</v>
      </c>
      <c r="B8">
        <v>2</v>
      </c>
      <c r="C8" t="str">
        <v>MODERATE</v>
      </c>
      <c r="D8">
        <v>1</v>
      </c>
      <c r="E8">
        <v>3</v>
      </c>
      <c r="F8">
        <v>5</v>
      </c>
      <c r="G8" t="str">
        <v>Sedikit lebih penting</v>
      </c>
    </row>
    <row r="9">
      <c r="A9">
        <v>2</v>
      </c>
      <c r="B9">
        <v>3</v>
      </c>
      <c r="C9" t="str">
        <v>MODERATE</v>
      </c>
      <c r="D9">
        <v>1</v>
      </c>
      <c r="E9">
        <v>3</v>
      </c>
      <c r="F9">
        <v>5</v>
      </c>
      <c r="G9" t="str">
        <v>Sedikit lebih penting</v>
      </c>
    </row>
    <row r="10">
      <c r="A10">
        <v>3</v>
      </c>
      <c r="B10">
        <v>4</v>
      </c>
      <c r="C10" t="str">
        <v>STRONG</v>
      </c>
      <c r="D10">
        <v>3</v>
      </c>
      <c r="E10">
        <v>5</v>
      </c>
      <c r="F10">
        <v>7</v>
      </c>
      <c r="G10" t="str">
        <v>Lebih penting</v>
      </c>
    </row>
    <row r="11">
      <c r="A11">
        <v>4</v>
      </c>
      <c r="B11">
        <v>5</v>
      </c>
      <c r="C11" t="str">
        <v>STRONG</v>
      </c>
      <c r="D11">
        <v>3</v>
      </c>
      <c r="E11">
        <v>5</v>
      </c>
      <c r="F11">
        <v>7</v>
      </c>
      <c r="G11" t="str">
        <v>Lebih penting</v>
      </c>
    </row>
    <row r="12">
      <c r="A12">
        <v>5</v>
      </c>
      <c r="B12">
        <v>6</v>
      </c>
      <c r="C12" t="str">
        <v>VERY_STRONG</v>
      </c>
      <c r="D12">
        <v>5</v>
      </c>
      <c r="E12">
        <v>7</v>
      </c>
      <c r="F12">
        <v>9</v>
      </c>
      <c r="G12" t="str">
        <v>Sangat lebih penting</v>
      </c>
    </row>
    <row r="13">
      <c r="A13">
        <v>6</v>
      </c>
      <c r="B13">
        <v>7</v>
      </c>
      <c r="C13" t="str">
        <v>VERY_STRONG</v>
      </c>
      <c r="D13">
        <v>5</v>
      </c>
      <c r="E13">
        <v>7</v>
      </c>
      <c r="F13">
        <v>9</v>
      </c>
      <c r="G13" t="str">
        <v>Sangat lebih penting</v>
      </c>
    </row>
    <row r="14">
      <c r="A14">
        <v>7</v>
      </c>
      <c r="B14">
        <v>8</v>
      </c>
      <c r="C14" t="str">
        <v>EXTREME</v>
      </c>
      <c r="D14">
        <v>7</v>
      </c>
      <c r="E14">
        <v>9</v>
      </c>
      <c r="F14">
        <v>9</v>
      </c>
      <c r="G14" t="str">
        <v>Mutlak lebih penting</v>
      </c>
    </row>
    <row r="15">
      <c r="A15">
        <v>8</v>
      </c>
      <c r="B15">
        <v>9</v>
      </c>
      <c r="C15" t="str">
        <v>EXTREME</v>
      </c>
      <c r="D15">
        <v>7</v>
      </c>
      <c r="E15">
        <v>9</v>
      </c>
      <c r="F15">
        <v>9</v>
      </c>
      <c r="G15" t="str">
        <v>Mutlak lebih penting</v>
      </c>
    </row>
    <row r="18">
      <c r="A18" t="str">
        <v>═══ RESPONDEN 1: Muhammad Rizki ═══</v>
      </c>
    </row>
    <row r="19">
      <c r="A19" t="str">
        <v>Jabatan: Auditor Halal | Instansi: UIN SUSKA</v>
      </c>
    </row>
    <row r="20">
      <c r="A20" t="str">
        <v>No</v>
      </c>
      <c r="B20" t="str">
        <v>Krit. A</v>
      </c>
      <c r="C20" t="str">
        <v>Krit. B</v>
      </c>
      <c r="D20" t="str">
        <v>Slider</v>
      </c>
      <c r="E20" t="str">
        <v>|Slider|</v>
      </c>
      <c r="F20" t="str">
        <v>absVal</v>
      </c>
      <c r="G20" t="str">
        <v>Arah</v>
      </c>
      <c r="H20" t="str">
        <v>Fuzzy</v>
      </c>
      <c r="I20" t="str">
        <v>l_orig</v>
      </c>
      <c r="J20" t="str">
        <v>m_orig</v>
      </c>
      <c r="K20" t="str">
        <v>u_orig</v>
      </c>
      <c r="L20" t="str">
        <v>TFN_l</v>
      </c>
      <c r="M20" t="str">
        <v>TFN_m</v>
      </c>
      <c r="N20" t="str">
        <v>TFN_u</v>
      </c>
    </row>
    <row r="21">
      <c r="A21">
        <v>1</v>
      </c>
      <c r="B21" t="str">
        <v>CP1</v>
      </c>
      <c r="C21" t="str">
        <v>CP2</v>
      </c>
      <c r="D21">
        <v>0</v>
      </c>
      <c r="E21">
        <v>0</v>
      </c>
      <c r="F21">
        <f>ABS(D21)+1</f>
      </c>
      <c r="G21" t="str">
        <v>= Sama</v>
      </c>
      <c r="H21" t="str">
        <v>EQUAL</v>
      </c>
      <c r="I21">
        <f>IF(F21=1,1,IF(F21&lt;=3,1,IF(F21&lt;=5,3,IF(F21&lt;=7,5,7))))</f>
      </c>
      <c r="J21">
        <f>IF(F21=1,1,IF(F21&lt;=3,3,IF(F21&lt;=5,5,IF(F21&lt;=7,7,9))))</f>
      </c>
      <c r="K21">
        <f>IF(F21=1,1,IF(F21&lt;=3,5,IF(F21&lt;=5,7,IF(F21&lt;=7,9,9))))</f>
      </c>
      <c r="L21" s="1">
        <f>IF(D21&gt;0,1/K21,I21)</f>
      </c>
      <c r="M21" s="1">
        <f>IF(D21&gt;0,1/J21,J21)</f>
      </c>
      <c r="N21" s="1">
        <f>IF(D21&gt;0,1/I21,K21)</f>
      </c>
    </row>
    <row r="22">
      <c r="A22">
        <v>2</v>
      </c>
      <c r="B22" t="str">
        <v>CP1</v>
      </c>
      <c r="C22" t="str">
        <v>CP3</v>
      </c>
      <c r="D22">
        <v>0</v>
      </c>
      <c r="E22">
        <v>0</v>
      </c>
      <c r="F22">
        <f>ABS(D22)+1</f>
      </c>
      <c r="G22" t="str">
        <v>= Sama</v>
      </c>
      <c r="H22" t="str">
        <v>EQUAL</v>
      </c>
      <c r="I22">
        <f>IF(F22=1,1,IF(F22&lt;=3,1,IF(F22&lt;=5,3,IF(F22&lt;=7,5,7))))</f>
      </c>
      <c r="J22">
        <f>IF(F22=1,1,IF(F22&lt;=3,3,IF(F22&lt;=5,5,IF(F22&lt;=7,7,9))))</f>
      </c>
      <c r="K22">
        <f>IF(F22=1,1,IF(F22&lt;=3,5,IF(F22&lt;=5,7,IF(F22&lt;=7,9,9))))</f>
      </c>
      <c r="L22" s="1">
        <f>IF(D22&gt;0,1/K22,I22)</f>
      </c>
      <c r="M22" s="1">
        <f>IF(D22&gt;0,1/J22,J22)</f>
      </c>
      <c r="N22" s="1">
        <f>IF(D22&gt;0,1/I22,K22)</f>
      </c>
    </row>
    <row r="23">
      <c r="A23">
        <v>3</v>
      </c>
      <c r="B23" t="str">
        <v>CP1</v>
      </c>
      <c r="C23" t="str">
        <v>CP4</v>
      </c>
      <c r="D23">
        <v>2</v>
      </c>
      <c r="E23">
        <v>2</v>
      </c>
      <c r="F23">
        <f>ABS(D23)+1</f>
      </c>
      <c r="G23" t="str">
        <v>→ CP4</v>
      </c>
      <c r="H23" t="str">
        <v>MODERATE</v>
      </c>
      <c r="I23">
        <f>IF(F23=1,1,IF(F23&lt;=3,1,IF(F23&lt;=5,3,IF(F23&lt;=7,5,7))))</f>
      </c>
      <c r="J23">
        <f>IF(F23=1,1,IF(F23&lt;=3,3,IF(F23&lt;=5,5,IF(F23&lt;=7,7,9))))</f>
      </c>
      <c r="K23">
        <f>IF(F23=1,1,IF(F23&lt;=3,5,IF(F23&lt;=5,7,IF(F23&lt;=7,9,9))))</f>
      </c>
      <c r="L23" s="1">
        <f>IF(D23&gt;0,1/K23,I23)</f>
      </c>
      <c r="M23" s="1">
        <f>IF(D23&gt;0,1/J23,J23)</f>
      </c>
      <c r="N23" s="1">
        <f>IF(D23&gt;0,1/I23,K23)</f>
      </c>
    </row>
    <row r="24">
      <c r="A24">
        <v>4</v>
      </c>
      <c r="B24" t="str">
        <v>CP1</v>
      </c>
      <c r="C24" t="str">
        <v>CP5</v>
      </c>
      <c r="D24">
        <v>2</v>
      </c>
      <c r="E24">
        <v>2</v>
      </c>
      <c r="F24">
        <f>ABS(D24)+1</f>
      </c>
      <c r="G24" t="str">
        <v>→ CP5</v>
      </c>
      <c r="H24" t="str">
        <v>MODERATE</v>
      </c>
      <c r="I24">
        <f>IF(F24=1,1,IF(F24&lt;=3,1,IF(F24&lt;=5,3,IF(F24&lt;=7,5,7))))</f>
      </c>
      <c r="J24">
        <f>IF(F24=1,1,IF(F24&lt;=3,3,IF(F24&lt;=5,5,IF(F24&lt;=7,7,9))))</f>
      </c>
      <c r="K24">
        <f>IF(F24=1,1,IF(F24&lt;=3,5,IF(F24&lt;=5,7,IF(F24&lt;=7,9,9))))</f>
      </c>
      <c r="L24" s="1">
        <f>IF(D24&gt;0,1/K24,I24)</f>
      </c>
      <c r="M24" s="1">
        <f>IF(D24&gt;0,1/J24,J24)</f>
      </c>
      <c r="N24" s="1">
        <f>IF(D24&gt;0,1/I24,K24)</f>
      </c>
    </row>
    <row r="25">
      <c r="A25">
        <v>5</v>
      </c>
      <c r="B25" t="str">
        <v>CP1</v>
      </c>
      <c r="C25" t="str">
        <v>CP6</v>
      </c>
      <c r="D25">
        <v>4</v>
      </c>
      <c r="E25">
        <v>4</v>
      </c>
      <c r="F25">
        <f>ABS(D25)+1</f>
      </c>
      <c r="G25" t="str">
        <v>→ CP6</v>
      </c>
      <c r="H25" t="str">
        <v>STRONG</v>
      </c>
      <c r="I25">
        <f>IF(F25=1,1,IF(F25&lt;=3,1,IF(F25&lt;=5,3,IF(F25&lt;=7,5,7))))</f>
      </c>
      <c r="J25">
        <f>IF(F25=1,1,IF(F25&lt;=3,3,IF(F25&lt;=5,5,IF(F25&lt;=7,7,9))))</f>
      </c>
      <c r="K25">
        <f>IF(F25=1,1,IF(F25&lt;=3,5,IF(F25&lt;=5,7,IF(F25&lt;=7,9,9))))</f>
      </c>
      <c r="L25" s="1">
        <f>IF(D25&gt;0,1/K25,I25)</f>
      </c>
      <c r="M25" s="1">
        <f>IF(D25&gt;0,1/J25,J25)</f>
      </c>
      <c r="N25" s="1">
        <f>IF(D25&gt;0,1/I25,K25)</f>
      </c>
    </row>
    <row r="26">
      <c r="A26">
        <v>6</v>
      </c>
      <c r="B26" t="str">
        <v>CP1</v>
      </c>
      <c r="C26" t="str">
        <v>CP7</v>
      </c>
      <c r="D26">
        <v>0</v>
      </c>
      <c r="E26">
        <v>0</v>
      </c>
      <c r="F26">
        <f>ABS(D26)+1</f>
      </c>
      <c r="G26" t="str">
        <v>= Sama</v>
      </c>
      <c r="H26" t="str">
        <v>EQUAL</v>
      </c>
      <c r="I26">
        <f>IF(F26=1,1,IF(F26&lt;=3,1,IF(F26&lt;=5,3,IF(F26&lt;=7,5,7))))</f>
      </c>
      <c r="J26">
        <f>IF(F26=1,1,IF(F26&lt;=3,3,IF(F26&lt;=5,5,IF(F26&lt;=7,7,9))))</f>
      </c>
      <c r="K26">
        <f>IF(F26=1,1,IF(F26&lt;=3,5,IF(F26&lt;=5,7,IF(F26&lt;=7,9,9))))</f>
      </c>
      <c r="L26" s="1">
        <f>IF(D26&gt;0,1/K26,I26)</f>
      </c>
      <c r="M26" s="1">
        <f>IF(D26&gt;0,1/J26,J26)</f>
      </c>
      <c r="N26" s="1">
        <f>IF(D26&gt;0,1/I26,K26)</f>
      </c>
    </row>
    <row r="27">
      <c r="A27">
        <v>7</v>
      </c>
      <c r="B27" t="str">
        <v>CP1</v>
      </c>
      <c r="C27" t="str">
        <v>CP8</v>
      </c>
      <c r="D27">
        <v>1</v>
      </c>
      <c r="E27">
        <v>1</v>
      </c>
      <c r="F27">
        <f>ABS(D27)+1</f>
      </c>
      <c r="G27" t="str">
        <v>→ CP8</v>
      </c>
      <c r="H27" t="str">
        <v>MODERATE</v>
      </c>
      <c r="I27">
        <f>IF(F27=1,1,IF(F27&lt;=3,1,IF(F27&lt;=5,3,IF(F27&lt;=7,5,7))))</f>
      </c>
      <c r="J27">
        <f>IF(F27=1,1,IF(F27&lt;=3,3,IF(F27&lt;=5,5,IF(F27&lt;=7,7,9))))</f>
      </c>
      <c r="K27">
        <f>IF(F27=1,1,IF(F27&lt;=3,5,IF(F27&lt;=5,7,IF(F27&lt;=7,9,9))))</f>
      </c>
      <c r="L27" s="1">
        <f>IF(D27&gt;0,1/K27,I27)</f>
      </c>
      <c r="M27" s="1">
        <f>IF(D27&gt;0,1/J27,J27)</f>
      </c>
      <c r="N27" s="1">
        <f>IF(D27&gt;0,1/I27,K27)</f>
      </c>
    </row>
    <row r="28">
      <c r="A28">
        <v>8</v>
      </c>
      <c r="B28" t="str">
        <v>CP1</v>
      </c>
      <c r="C28" t="str">
        <v>CP9</v>
      </c>
      <c r="D28">
        <v>1</v>
      </c>
      <c r="E28">
        <v>1</v>
      </c>
      <c r="F28">
        <f>ABS(D28)+1</f>
      </c>
      <c r="G28" t="str">
        <v>→ CP9</v>
      </c>
      <c r="H28" t="str">
        <v>MODERATE</v>
      </c>
      <c r="I28">
        <f>IF(F28=1,1,IF(F28&lt;=3,1,IF(F28&lt;=5,3,IF(F28&lt;=7,5,7))))</f>
      </c>
      <c r="J28">
        <f>IF(F28=1,1,IF(F28&lt;=3,3,IF(F28&lt;=5,5,IF(F28&lt;=7,7,9))))</f>
      </c>
      <c r="K28">
        <f>IF(F28=1,1,IF(F28&lt;=3,5,IF(F28&lt;=5,7,IF(F28&lt;=7,9,9))))</f>
      </c>
      <c r="L28" s="1">
        <f>IF(D28&gt;0,1/K28,I28)</f>
      </c>
      <c r="M28" s="1">
        <f>IF(D28&gt;0,1/J28,J28)</f>
      </c>
      <c r="N28" s="1">
        <f>IF(D28&gt;0,1/I28,K28)</f>
      </c>
    </row>
    <row r="29">
      <c r="A29">
        <v>9</v>
      </c>
      <c r="B29" t="str">
        <v>CP2</v>
      </c>
      <c r="C29" t="str">
        <v>CP3</v>
      </c>
      <c r="D29">
        <v>0</v>
      </c>
      <c r="E29">
        <v>0</v>
      </c>
      <c r="F29">
        <f>ABS(D29)+1</f>
      </c>
      <c r="G29" t="str">
        <v>= Sama</v>
      </c>
      <c r="H29" t="str">
        <v>EQUAL</v>
      </c>
      <c r="I29">
        <f>IF(F29=1,1,IF(F29&lt;=3,1,IF(F29&lt;=5,3,IF(F29&lt;=7,5,7))))</f>
      </c>
      <c r="J29">
        <f>IF(F29=1,1,IF(F29&lt;=3,3,IF(F29&lt;=5,5,IF(F29&lt;=7,7,9))))</f>
      </c>
      <c r="K29">
        <f>IF(F29=1,1,IF(F29&lt;=3,5,IF(F29&lt;=5,7,IF(F29&lt;=7,9,9))))</f>
      </c>
      <c r="L29" s="1">
        <f>IF(D29&gt;0,1/K29,I29)</f>
      </c>
      <c r="M29" s="1">
        <f>IF(D29&gt;0,1/J29,J29)</f>
      </c>
      <c r="N29" s="1">
        <f>IF(D29&gt;0,1/I29,K29)</f>
      </c>
    </row>
    <row r="30">
      <c r="A30">
        <v>10</v>
      </c>
      <c r="B30" t="str">
        <v>CP2</v>
      </c>
      <c r="C30" t="str">
        <v>CP4</v>
      </c>
      <c r="D30">
        <v>1</v>
      </c>
      <c r="E30">
        <v>1</v>
      </c>
      <c r="F30">
        <f>ABS(D30)+1</f>
      </c>
      <c r="G30" t="str">
        <v>→ CP4</v>
      </c>
      <c r="H30" t="str">
        <v>MODERATE</v>
      </c>
      <c r="I30">
        <f>IF(F30=1,1,IF(F30&lt;=3,1,IF(F30&lt;=5,3,IF(F30&lt;=7,5,7))))</f>
      </c>
      <c r="J30">
        <f>IF(F30=1,1,IF(F30&lt;=3,3,IF(F30&lt;=5,5,IF(F30&lt;=7,7,9))))</f>
      </c>
      <c r="K30">
        <f>IF(F30=1,1,IF(F30&lt;=3,5,IF(F30&lt;=5,7,IF(F30&lt;=7,9,9))))</f>
      </c>
      <c r="L30" s="1">
        <f>IF(D30&gt;0,1/K30,I30)</f>
      </c>
      <c r="M30" s="1">
        <f>IF(D30&gt;0,1/J30,J30)</f>
      </c>
      <c r="N30" s="1">
        <f>IF(D30&gt;0,1/I30,K30)</f>
      </c>
    </row>
    <row r="31">
      <c r="A31">
        <v>11</v>
      </c>
      <c r="B31" t="str">
        <v>CP2</v>
      </c>
      <c r="C31" t="str">
        <v>CP5</v>
      </c>
      <c r="D31">
        <v>1</v>
      </c>
      <c r="E31">
        <v>1</v>
      </c>
      <c r="F31">
        <f>ABS(D31)+1</f>
      </c>
      <c r="G31" t="str">
        <v>→ CP5</v>
      </c>
      <c r="H31" t="str">
        <v>MODERATE</v>
      </c>
      <c r="I31">
        <f>IF(F31=1,1,IF(F31&lt;=3,1,IF(F31&lt;=5,3,IF(F31&lt;=7,5,7))))</f>
      </c>
      <c r="J31">
        <f>IF(F31=1,1,IF(F31&lt;=3,3,IF(F31&lt;=5,5,IF(F31&lt;=7,7,9))))</f>
      </c>
      <c r="K31">
        <f>IF(F31=1,1,IF(F31&lt;=3,5,IF(F31&lt;=5,7,IF(F31&lt;=7,9,9))))</f>
      </c>
      <c r="L31" s="1">
        <f>IF(D31&gt;0,1/K31,I31)</f>
      </c>
      <c r="M31" s="1">
        <f>IF(D31&gt;0,1/J31,J31)</f>
      </c>
      <c r="N31" s="1">
        <f>IF(D31&gt;0,1/I31,K31)</f>
      </c>
    </row>
    <row r="32">
      <c r="A32">
        <v>12</v>
      </c>
      <c r="B32" t="str">
        <v>CP2</v>
      </c>
      <c r="C32" t="str">
        <v>CP6</v>
      </c>
      <c r="D32">
        <v>3</v>
      </c>
      <c r="E32">
        <v>3</v>
      </c>
      <c r="F32">
        <f>ABS(D32)+1</f>
      </c>
      <c r="G32" t="str">
        <v>→ CP6</v>
      </c>
      <c r="H32" t="str">
        <v>STRONG</v>
      </c>
      <c r="I32">
        <f>IF(F32=1,1,IF(F32&lt;=3,1,IF(F32&lt;=5,3,IF(F32&lt;=7,5,7))))</f>
      </c>
      <c r="J32">
        <f>IF(F32=1,1,IF(F32&lt;=3,3,IF(F32&lt;=5,5,IF(F32&lt;=7,7,9))))</f>
      </c>
      <c r="K32">
        <f>IF(F32=1,1,IF(F32&lt;=3,5,IF(F32&lt;=5,7,IF(F32&lt;=7,9,9))))</f>
      </c>
      <c r="L32" s="1">
        <f>IF(D32&gt;0,1/K32,I32)</f>
      </c>
      <c r="M32" s="1">
        <f>IF(D32&gt;0,1/J32,J32)</f>
      </c>
      <c r="N32" s="1">
        <f>IF(D32&gt;0,1/I32,K32)</f>
      </c>
    </row>
    <row r="33">
      <c r="A33">
        <v>13</v>
      </c>
      <c r="B33" t="str">
        <v>CP2</v>
      </c>
      <c r="C33" t="str">
        <v>CP7</v>
      </c>
      <c r="D33">
        <v>0</v>
      </c>
      <c r="E33">
        <v>0</v>
      </c>
      <c r="F33">
        <f>ABS(D33)+1</f>
      </c>
      <c r="G33" t="str">
        <v>= Sama</v>
      </c>
      <c r="H33" t="str">
        <v>EQUAL</v>
      </c>
      <c r="I33">
        <f>IF(F33=1,1,IF(F33&lt;=3,1,IF(F33&lt;=5,3,IF(F33&lt;=7,5,7))))</f>
      </c>
      <c r="J33">
        <f>IF(F33=1,1,IF(F33&lt;=3,3,IF(F33&lt;=5,5,IF(F33&lt;=7,7,9))))</f>
      </c>
      <c r="K33">
        <f>IF(F33=1,1,IF(F33&lt;=3,5,IF(F33&lt;=5,7,IF(F33&lt;=7,9,9))))</f>
      </c>
      <c r="L33" s="1">
        <f>IF(D33&gt;0,1/K33,I33)</f>
      </c>
      <c r="M33" s="1">
        <f>IF(D33&gt;0,1/J33,J33)</f>
      </c>
      <c r="N33" s="1">
        <f>IF(D33&gt;0,1/I33,K33)</f>
      </c>
    </row>
    <row r="34">
      <c r="A34">
        <v>14</v>
      </c>
      <c r="B34" t="str">
        <v>CP2</v>
      </c>
      <c r="C34" t="str">
        <v>CP8</v>
      </c>
      <c r="D34">
        <v>0</v>
      </c>
      <c r="E34">
        <v>0</v>
      </c>
      <c r="F34">
        <f>ABS(D34)+1</f>
      </c>
      <c r="G34" t="str">
        <v>= Sama</v>
      </c>
      <c r="H34" t="str">
        <v>EQUAL</v>
      </c>
      <c r="I34">
        <f>IF(F34=1,1,IF(F34&lt;=3,1,IF(F34&lt;=5,3,IF(F34&lt;=7,5,7))))</f>
      </c>
      <c r="J34">
        <f>IF(F34=1,1,IF(F34&lt;=3,3,IF(F34&lt;=5,5,IF(F34&lt;=7,7,9))))</f>
      </c>
      <c r="K34">
        <f>IF(F34=1,1,IF(F34&lt;=3,5,IF(F34&lt;=5,7,IF(F34&lt;=7,9,9))))</f>
      </c>
      <c r="L34" s="1">
        <f>IF(D34&gt;0,1/K34,I34)</f>
      </c>
      <c r="M34" s="1">
        <f>IF(D34&gt;0,1/J34,J34)</f>
      </c>
      <c r="N34" s="1">
        <f>IF(D34&gt;0,1/I34,K34)</f>
      </c>
    </row>
    <row r="35">
      <c r="A35">
        <v>15</v>
      </c>
      <c r="B35" t="str">
        <v>CP2</v>
      </c>
      <c r="C35" t="str">
        <v>CP9</v>
      </c>
      <c r="D35">
        <v>0</v>
      </c>
      <c r="E35">
        <v>0</v>
      </c>
      <c r="F35">
        <f>ABS(D35)+1</f>
      </c>
      <c r="G35" t="str">
        <v>= Sama</v>
      </c>
      <c r="H35" t="str">
        <v>EQUAL</v>
      </c>
      <c r="I35">
        <f>IF(F35=1,1,IF(F35&lt;=3,1,IF(F35&lt;=5,3,IF(F35&lt;=7,5,7))))</f>
      </c>
      <c r="J35">
        <f>IF(F35=1,1,IF(F35&lt;=3,3,IF(F35&lt;=5,5,IF(F35&lt;=7,7,9))))</f>
      </c>
      <c r="K35">
        <f>IF(F35=1,1,IF(F35&lt;=3,5,IF(F35&lt;=5,7,IF(F35&lt;=7,9,9))))</f>
      </c>
      <c r="L35" s="1">
        <f>IF(D35&gt;0,1/K35,I35)</f>
      </c>
      <c r="M35" s="1">
        <f>IF(D35&gt;0,1/J35,J35)</f>
      </c>
      <c r="N35" s="1">
        <f>IF(D35&gt;0,1/I35,K35)</f>
      </c>
    </row>
    <row r="36">
      <c r="A36">
        <v>16</v>
      </c>
      <c r="B36" t="str">
        <v>CP3</v>
      </c>
      <c r="C36" t="str">
        <v>CP4</v>
      </c>
      <c r="D36">
        <v>2</v>
      </c>
      <c r="E36">
        <v>2</v>
      </c>
      <c r="F36">
        <f>ABS(D36)+1</f>
      </c>
      <c r="G36" t="str">
        <v>→ CP4</v>
      </c>
      <c r="H36" t="str">
        <v>MODERATE</v>
      </c>
      <c r="I36">
        <f>IF(F36=1,1,IF(F36&lt;=3,1,IF(F36&lt;=5,3,IF(F36&lt;=7,5,7))))</f>
      </c>
      <c r="J36">
        <f>IF(F36=1,1,IF(F36&lt;=3,3,IF(F36&lt;=5,5,IF(F36&lt;=7,7,9))))</f>
      </c>
      <c r="K36">
        <f>IF(F36=1,1,IF(F36&lt;=3,5,IF(F36&lt;=5,7,IF(F36&lt;=7,9,9))))</f>
      </c>
      <c r="L36" s="1">
        <f>IF(D36&gt;0,1/K36,I36)</f>
      </c>
      <c r="M36" s="1">
        <f>IF(D36&gt;0,1/J36,J36)</f>
      </c>
      <c r="N36" s="1">
        <f>IF(D36&gt;0,1/I36,K36)</f>
      </c>
    </row>
    <row r="37">
      <c r="A37">
        <v>17</v>
      </c>
      <c r="B37" t="str">
        <v>CP3</v>
      </c>
      <c r="C37" t="str">
        <v>CP5</v>
      </c>
      <c r="D37">
        <v>2</v>
      </c>
      <c r="E37">
        <v>2</v>
      </c>
      <c r="F37">
        <f>ABS(D37)+1</f>
      </c>
      <c r="G37" t="str">
        <v>→ CP5</v>
      </c>
      <c r="H37" t="str">
        <v>MODERATE</v>
      </c>
      <c r="I37">
        <f>IF(F37=1,1,IF(F37&lt;=3,1,IF(F37&lt;=5,3,IF(F37&lt;=7,5,7))))</f>
      </c>
      <c r="J37">
        <f>IF(F37=1,1,IF(F37&lt;=3,3,IF(F37&lt;=5,5,IF(F37&lt;=7,7,9))))</f>
      </c>
      <c r="K37">
        <f>IF(F37=1,1,IF(F37&lt;=3,5,IF(F37&lt;=5,7,IF(F37&lt;=7,9,9))))</f>
      </c>
      <c r="L37" s="1">
        <f>IF(D37&gt;0,1/K37,I37)</f>
      </c>
      <c r="M37" s="1">
        <f>IF(D37&gt;0,1/J37,J37)</f>
      </c>
      <c r="N37" s="1">
        <f>IF(D37&gt;0,1/I37,K37)</f>
      </c>
    </row>
    <row r="38">
      <c r="A38">
        <v>18</v>
      </c>
      <c r="B38" t="str">
        <v>CP3</v>
      </c>
      <c r="C38" t="str">
        <v>CP6</v>
      </c>
      <c r="D38">
        <v>4</v>
      </c>
      <c r="E38">
        <v>4</v>
      </c>
      <c r="F38">
        <f>ABS(D38)+1</f>
      </c>
      <c r="G38" t="str">
        <v>→ CP6</v>
      </c>
      <c r="H38" t="str">
        <v>STRONG</v>
      </c>
      <c r="I38">
        <f>IF(F38=1,1,IF(F38&lt;=3,1,IF(F38&lt;=5,3,IF(F38&lt;=7,5,7))))</f>
      </c>
      <c r="J38">
        <f>IF(F38=1,1,IF(F38&lt;=3,3,IF(F38&lt;=5,5,IF(F38&lt;=7,7,9))))</f>
      </c>
      <c r="K38">
        <f>IF(F38=1,1,IF(F38&lt;=3,5,IF(F38&lt;=5,7,IF(F38&lt;=7,9,9))))</f>
      </c>
      <c r="L38" s="1">
        <f>IF(D38&gt;0,1/K38,I38)</f>
      </c>
      <c r="M38" s="1">
        <f>IF(D38&gt;0,1/J38,J38)</f>
      </c>
      <c r="N38" s="1">
        <f>IF(D38&gt;0,1/I38,K38)</f>
      </c>
    </row>
    <row r="39">
      <c r="A39">
        <v>19</v>
      </c>
      <c r="B39" t="str">
        <v>CP3</v>
      </c>
      <c r="C39" t="str">
        <v>CP7</v>
      </c>
      <c r="D39">
        <v>0</v>
      </c>
      <c r="E39">
        <v>0</v>
      </c>
      <c r="F39">
        <f>ABS(D39)+1</f>
      </c>
      <c r="G39" t="str">
        <v>= Sama</v>
      </c>
      <c r="H39" t="str">
        <v>EQUAL</v>
      </c>
      <c r="I39">
        <f>IF(F39=1,1,IF(F39&lt;=3,1,IF(F39&lt;=5,3,IF(F39&lt;=7,5,7))))</f>
      </c>
      <c r="J39">
        <f>IF(F39=1,1,IF(F39&lt;=3,3,IF(F39&lt;=5,5,IF(F39&lt;=7,7,9))))</f>
      </c>
      <c r="K39">
        <f>IF(F39=1,1,IF(F39&lt;=3,5,IF(F39&lt;=5,7,IF(F39&lt;=7,9,9))))</f>
      </c>
      <c r="L39" s="1">
        <f>IF(D39&gt;0,1/K39,I39)</f>
      </c>
      <c r="M39" s="1">
        <f>IF(D39&gt;0,1/J39,J39)</f>
      </c>
      <c r="N39" s="1">
        <f>IF(D39&gt;0,1/I39,K39)</f>
      </c>
    </row>
    <row r="40">
      <c r="A40">
        <v>20</v>
      </c>
      <c r="B40" t="str">
        <v>CP3</v>
      </c>
      <c r="C40" t="str">
        <v>CP8</v>
      </c>
      <c r="D40">
        <v>0</v>
      </c>
      <c r="E40">
        <v>0</v>
      </c>
      <c r="F40">
        <f>ABS(D40)+1</f>
      </c>
      <c r="G40" t="str">
        <v>= Sama</v>
      </c>
      <c r="H40" t="str">
        <v>EQUAL</v>
      </c>
      <c r="I40">
        <f>IF(F40=1,1,IF(F40&lt;=3,1,IF(F40&lt;=5,3,IF(F40&lt;=7,5,7))))</f>
      </c>
      <c r="J40">
        <f>IF(F40=1,1,IF(F40&lt;=3,3,IF(F40&lt;=5,5,IF(F40&lt;=7,7,9))))</f>
      </c>
      <c r="K40">
        <f>IF(F40=1,1,IF(F40&lt;=3,5,IF(F40&lt;=5,7,IF(F40&lt;=7,9,9))))</f>
      </c>
      <c r="L40" s="1">
        <f>IF(D40&gt;0,1/K40,I40)</f>
      </c>
      <c r="M40" s="1">
        <f>IF(D40&gt;0,1/J40,J40)</f>
      </c>
      <c r="N40" s="1">
        <f>IF(D40&gt;0,1/I40,K40)</f>
      </c>
    </row>
    <row r="41">
      <c r="A41">
        <v>21</v>
      </c>
      <c r="B41" t="str">
        <v>CP3</v>
      </c>
      <c r="C41" t="str">
        <v>CP9</v>
      </c>
      <c r="D41">
        <v>1</v>
      </c>
      <c r="E41">
        <v>1</v>
      </c>
      <c r="F41">
        <f>ABS(D41)+1</f>
      </c>
      <c r="G41" t="str">
        <v>→ CP9</v>
      </c>
      <c r="H41" t="str">
        <v>MODERATE</v>
      </c>
      <c r="I41">
        <f>IF(F41=1,1,IF(F41&lt;=3,1,IF(F41&lt;=5,3,IF(F41&lt;=7,5,7))))</f>
      </c>
      <c r="J41">
        <f>IF(F41=1,1,IF(F41&lt;=3,3,IF(F41&lt;=5,5,IF(F41&lt;=7,7,9))))</f>
      </c>
      <c r="K41">
        <f>IF(F41=1,1,IF(F41&lt;=3,5,IF(F41&lt;=5,7,IF(F41&lt;=7,9,9))))</f>
      </c>
      <c r="L41" s="1">
        <f>IF(D41&gt;0,1/K41,I41)</f>
      </c>
      <c r="M41" s="1">
        <f>IF(D41&gt;0,1/J41,J41)</f>
      </c>
      <c r="N41" s="1">
        <f>IF(D41&gt;0,1/I41,K41)</f>
      </c>
    </row>
    <row r="42">
      <c r="A42">
        <v>22</v>
      </c>
      <c r="B42" t="str">
        <v>CP4</v>
      </c>
      <c r="C42" t="str">
        <v>CP5</v>
      </c>
      <c r="D42">
        <v>0</v>
      </c>
      <c r="E42">
        <v>0</v>
      </c>
      <c r="F42">
        <f>ABS(D42)+1</f>
      </c>
      <c r="G42" t="str">
        <v>= Sama</v>
      </c>
      <c r="H42" t="str">
        <v>EQUAL</v>
      </c>
      <c r="I42">
        <f>IF(F42=1,1,IF(F42&lt;=3,1,IF(F42&lt;=5,3,IF(F42&lt;=7,5,7))))</f>
      </c>
      <c r="J42">
        <f>IF(F42=1,1,IF(F42&lt;=3,3,IF(F42&lt;=5,5,IF(F42&lt;=7,7,9))))</f>
      </c>
      <c r="K42">
        <f>IF(F42=1,1,IF(F42&lt;=3,5,IF(F42&lt;=5,7,IF(F42&lt;=7,9,9))))</f>
      </c>
      <c r="L42" s="1">
        <f>IF(D42&gt;0,1/K42,I42)</f>
      </c>
      <c r="M42" s="1">
        <f>IF(D42&gt;0,1/J42,J42)</f>
      </c>
      <c r="N42" s="1">
        <f>IF(D42&gt;0,1/I42,K42)</f>
      </c>
    </row>
    <row r="43">
      <c r="A43">
        <v>23</v>
      </c>
      <c r="B43" t="str">
        <v>CP4</v>
      </c>
      <c r="C43" t="str">
        <v>CP6</v>
      </c>
      <c r="D43">
        <v>1</v>
      </c>
      <c r="E43">
        <v>1</v>
      </c>
      <c r="F43">
        <f>ABS(D43)+1</f>
      </c>
      <c r="G43" t="str">
        <v>→ CP6</v>
      </c>
      <c r="H43" t="str">
        <v>MODERATE</v>
      </c>
      <c r="I43">
        <f>IF(F43=1,1,IF(F43&lt;=3,1,IF(F43&lt;=5,3,IF(F43&lt;=7,5,7))))</f>
      </c>
      <c r="J43">
        <f>IF(F43=1,1,IF(F43&lt;=3,3,IF(F43&lt;=5,5,IF(F43&lt;=7,7,9))))</f>
      </c>
      <c r="K43">
        <f>IF(F43=1,1,IF(F43&lt;=3,5,IF(F43&lt;=5,7,IF(F43&lt;=7,9,9))))</f>
      </c>
      <c r="L43" s="1">
        <f>IF(D43&gt;0,1/K43,I43)</f>
      </c>
      <c r="M43" s="1">
        <f>IF(D43&gt;0,1/J43,J43)</f>
      </c>
      <c r="N43" s="1">
        <f>IF(D43&gt;0,1/I43,K43)</f>
      </c>
    </row>
    <row r="44">
      <c r="A44">
        <v>24</v>
      </c>
      <c r="B44" t="str">
        <v>CP4</v>
      </c>
      <c r="C44" t="str">
        <v>CP7</v>
      </c>
      <c r="D44">
        <v>-1</v>
      </c>
      <c r="E44">
        <v>1</v>
      </c>
      <c r="F44">
        <f>ABS(D44)+1</f>
      </c>
      <c r="G44" t="str">
        <v>← CP4</v>
      </c>
      <c r="H44" t="str">
        <v>MODERATE</v>
      </c>
      <c r="I44">
        <f>IF(F44=1,1,IF(F44&lt;=3,1,IF(F44&lt;=5,3,IF(F44&lt;=7,5,7))))</f>
      </c>
      <c r="J44">
        <f>IF(F44=1,1,IF(F44&lt;=3,3,IF(F44&lt;=5,5,IF(F44&lt;=7,7,9))))</f>
      </c>
      <c r="K44">
        <f>IF(F44=1,1,IF(F44&lt;=3,5,IF(F44&lt;=5,7,IF(F44&lt;=7,9,9))))</f>
      </c>
      <c r="L44" s="1">
        <f>IF(D44&gt;0,1/K44,I44)</f>
      </c>
      <c r="M44" s="1">
        <f>IF(D44&gt;0,1/J44,J44)</f>
      </c>
      <c r="N44" s="1">
        <f>IF(D44&gt;0,1/I44,K44)</f>
      </c>
    </row>
    <row r="45">
      <c r="A45">
        <v>25</v>
      </c>
      <c r="B45" t="str">
        <v>CP4</v>
      </c>
      <c r="C45" t="str">
        <v>CP8</v>
      </c>
      <c r="D45">
        <v>-1</v>
      </c>
      <c r="E45">
        <v>1</v>
      </c>
      <c r="F45">
        <f>ABS(D45)+1</f>
      </c>
      <c r="G45" t="str">
        <v>← CP4</v>
      </c>
      <c r="H45" t="str">
        <v>MODERATE</v>
      </c>
      <c r="I45">
        <f>IF(F45=1,1,IF(F45&lt;=3,1,IF(F45&lt;=5,3,IF(F45&lt;=7,5,7))))</f>
      </c>
      <c r="J45">
        <f>IF(F45=1,1,IF(F45&lt;=3,3,IF(F45&lt;=5,5,IF(F45&lt;=7,7,9))))</f>
      </c>
      <c r="K45">
        <f>IF(F45=1,1,IF(F45&lt;=3,5,IF(F45&lt;=5,7,IF(F45&lt;=7,9,9))))</f>
      </c>
      <c r="L45" s="1">
        <f>IF(D45&gt;0,1/K45,I45)</f>
      </c>
      <c r="M45" s="1">
        <f>IF(D45&gt;0,1/J45,J45)</f>
      </c>
      <c r="N45" s="1">
        <f>IF(D45&gt;0,1/I45,K45)</f>
      </c>
    </row>
    <row r="46">
      <c r="A46">
        <v>26</v>
      </c>
      <c r="B46" t="str">
        <v>CP4</v>
      </c>
      <c r="C46" t="str">
        <v>CP9</v>
      </c>
      <c r="D46">
        <v>-1</v>
      </c>
      <c r="E46">
        <v>1</v>
      </c>
      <c r="F46">
        <f>ABS(D46)+1</f>
      </c>
      <c r="G46" t="str">
        <v>← CP4</v>
      </c>
      <c r="H46" t="str">
        <v>MODERATE</v>
      </c>
      <c r="I46">
        <f>IF(F46=1,1,IF(F46&lt;=3,1,IF(F46&lt;=5,3,IF(F46&lt;=7,5,7))))</f>
      </c>
      <c r="J46">
        <f>IF(F46=1,1,IF(F46&lt;=3,3,IF(F46&lt;=5,5,IF(F46&lt;=7,7,9))))</f>
      </c>
      <c r="K46">
        <f>IF(F46=1,1,IF(F46&lt;=3,5,IF(F46&lt;=5,7,IF(F46&lt;=7,9,9))))</f>
      </c>
      <c r="L46" s="1">
        <f>IF(D46&gt;0,1/K46,I46)</f>
      </c>
      <c r="M46" s="1">
        <f>IF(D46&gt;0,1/J46,J46)</f>
      </c>
      <c r="N46" s="1">
        <f>IF(D46&gt;0,1/I46,K46)</f>
      </c>
    </row>
    <row r="47">
      <c r="A47">
        <v>27</v>
      </c>
      <c r="B47" t="str">
        <v>CP5</v>
      </c>
      <c r="C47" t="str">
        <v>CP6</v>
      </c>
      <c r="D47">
        <v>1</v>
      </c>
      <c r="E47">
        <v>1</v>
      </c>
      <c r="F47">
        <f>ABS(D47)+1</f>
      </c>
      <c r="G47" t="str">
        <v>→ CP6</v>
      </c>
      <c r="H47" t="str">
        <v>MODERATE</v>
      </c>
      <c r="I47">
        <f>IF(F47=1,1,IF(F47&lt;=3,1,IF(F47&lt;=5,3,IF(F47&lt;=7,5,7))))</f>
      </c>
      <c r="J47">
        <f>IF(F47=1,1,IF(F47&lt;=3,3,IF(F47&lt;=5,5,IF(F47&lt;=7,7,9))))</f>
      </c>
      <c r="K47">
        <f>IF(F47=1,1,IF(F47&lt;=3,5,IF(F47&lt;=5,7,IF(F47&lt;=7,9,9))))</f>
      </c>
      <c r="L47" s="1">
        <f>IF(D47&gt;0,1/K47,I47)</f>
      </c>
      <c r="M47" s="1">
        <f>IF(D47&gt;0,1/J47,J47)</f>
      </c>
      <c r="N47" s="1">
        <f>IF(D47&gt;0,1/I47,K47)</f>
      </c>
    </row>
    <row r="48">
      <c r="A48">
        <v>28</v>
      </c>
      <c r="B48" t="str">
        <v>CP5</v>
      </c>
      <c r="C48" t="str">
        <v>CP7</v>
      </c>
      <c r="D48">
        <v>-1</v>
      </c>
      <c r="E48">
        <v>1</v>
      </c>
      <c r="F48">
        <f>ABS(D48)+1</f>
      </c>
      <c r="G48" t="str">
        <v>← CP5</v>
      </c>
      <c r="H48" t="str">
        <v>MODERATE</v>
      </c>
      <c r="I48">
        <f>IF(F48=1,1,IF(F48&lt;=3,1,IF(F48&lt;=5,3,IF(F48&lt;=7,5,7))))</f>
      </c>
      <c r="J48">
        <f>IF(F48=1,1,IF(F48&lt;=3,3,IF(F48&lt;=5,5,IF(F48&lt;=7,7,9))))</f>
      </c>
      <c r="K48">
        <f>IF(F48=1,1,IF(F48&lt;=3,5,IF(F48&lt;=5,7,IF(F48&lt;=7,9,9))))</f>
      </c>
      <c r="L48" s="1">
        <f>IF(D48&gt;0,1/K48,I48)</f>
      </c>
      <c r="M48" s="1">
        <f>IF(D48&gt;0,1/J48,J48)</f>
      </c>
      <c r="N48" s="1">
        <f>IF(D48&gt;0,1/I48,K48)</f>
      </c>
    </row>
    <row r="49">
      <c r="A49">
        <v>29</v>
      </c>
      <c r="B49" t="str">
        <v>CP5</v>
      </c>
      <c r="C49" t="str">
        <v>CP8</v>
      </c>
      <c r="D49">
        <v>-1</v>
      </c>
      <c r="E49">
        <v>1</v>
      </c>
      <c r="F49">
        <f>ABS(D49)+1</f>
      </c>
      <c r="G49" t="str">
        <v>← CP5</v>
      </c>
      <c r="H49" t="str">
        <v>MODERATE</v>
      </c>
      <c r="I49">
        <f>IF(F49=1,1,IF(F49&lt;=3,1,IF(F49&lt;=5,3,IF(F49&lt;=7,5,7))))</f>
      </c>
      <c r="J49">
        <f>IF(F49=1,1,IF(F49&lt;=3,3,IF(F49&lt;=5,5,IF(F49&lt;=7,7,9))))</f>
      </c>
      <c r="K49">
        <f>IF(F49=1,1,IF(F49&lt;=3,5,IF(F49&lt;=5,7,IF(F49&lt;=7,9,9))))</f>
      </c>
      <c r="L49" s="1">
        <f>IF(D49&gt;0,1/K49,I49)</f>
      </c>
      <c r="M49" s="1">
        <f>IF(D49&gt;0,1/J49,J49)</f>
      </c>
      <c r="N49" s="1">
        <f>IF(D49&gt;0,1/I49,K49)</f>
      </c>
    </row>
    <row r="50">
      <c r="A50">
        <v>30</v>
      </c>
      <c r="B50" t="str">
        <v>CP5</v>
      </c>
      <c r="C50" t="str">
        <v>CP9</v>
      </c>
      <c r="D50">
        <v>-1</v>
      </c>
      <c r="E50">
        <v>1</v>
      </c>
      <c r="F50">
        <f>ABS(D50)+1</f>
      </c>
      <c r="G50" t="str">
        <v>← CP5</v>
      </c>
      <c r="H50" t="str">
        <v>MODERATE</v>
      </c>
      <c r="I50">
        <f>IF(F50=1,1,IF(F50&lt;=3,1,IF(F50&lt;=5,3,IF(F50&lt;=7,5,7))))</f>
      </c>
      <c r="J50">
        <f>IF(F50=1,1,IF(F50&lt;=3,3,IF(F50&lt;=5,5,IF(F50&lt;=7,7,9))))</f>
      </c>
      <c r="K50">
        <f>IF(F50=1,1,IF(F50&lt;=3,5,IF(F50&lt;=5,7,IF(F50&lt;=7,9,9))))</f>
      </c>
      <c r="L50" s="1">
        <f>IF(D50&gt;0,1/K50,I50)</f>
      </c>
      <c r="M50" s="1">
        <f>IF(D50&gt;0,1/J50,J50)</f>
      </c>
      <c r="N50" s="1">
        <f>IF(D50&gt;0,1/I50,K50)</f>
      </c>
    </row>
    <row r="51">
      <c r="A51">
        <v>31</v>
      </c>
      <c r="B51" t="str">
        <v>CP6</v>
      </c>
      <c r="C51" t="str">
        <v>CP7</v>
      </c>
      <c r="D51">
        <v>-3</v>
      </c>
      <c r="E51">
        <v>3</v>
      </c>
      <c r="F51">
        <f>ABS(D51)+1</f>
      </c>
      <c r="G51" t="str">
        <v>← CP6</v>
      </c>
      <c r="H51" t="str">
        <v>STRONG</v>
      </c>
      <c r="I51">
        <f>IF(F51=1,1,IF(F51&lt;=3,1,IF(F51&lt;=5,3,IF(F51&lt;=7,5,7))))</f>
      </c>
      <c r="J51">
        <f>IF(F51=1,1,IF(F51&lt;=3,3,IF(F51&lt;=5,5,IF(F51&lt;=7,7,9))))</f>
      </c>
      <c r="K51">
        <f>IF(F51=1,1,IF(F51&lt;=3,5,IF(F51&lt;=5,7,IF(F51&lt;=7,9,9))))</f>
      </c>
      <c r="L51" s="1">
        <f>IF(D51&gt;0,1/K51,I51)</f>
      </c>
      <c r="M51" s="1">
        <f>IF(D51&gt;0,1/J51,J51)</f>
      </c>
      <c r="N51" s="1">
        <f>IF(D51&gt;0,1/I51,K51)</f>
      </c>
    </row>
    <row r="52">
      <c r="A52">
        <v>32</v>
      </c>
      <c r="B52" t="str">
        <v>CP6</v>
      </c>
      <c r="C52" t="str">
        <v>CP8</v>
      </c>
      <c r="D52">
        <v>-2</v>
      </c>
      <c r="E52">
        <v>2</v>
      </c>
      <c r="F52">
        <f>ABS(D52)+1</f>
      </c>
      <c r="G52" t="str">
        <v>← CP6</v>
      </c>
      <c r="H52" t="str">
        <v>MODERATE</v>
      </c>
      <c r="I52">
        <f>IF(F52=1,1,IF(F52&lt;=3,1,IF(F52&lt;=5,3,IF(F52&lt;=7,5,7))))</f>
      </c>
      <c r="J52">
        <f>IF(F52=1,1,IF(F52&lt;=3,3,IF(F52&lt;=5,5,IF(F52&lt;=7,7,9))))</f>
      </c>
      <c r="K52">
        <f>IF(F52=1,1,IF(F52&lt;=3,5,IF(F52&lt;=5,7,IF(F52&lt;=7,9,9))))</f>
      </c>
      <c r="L52" s="1">
        <f>IF(D52&gt;0,1/K52,I52)</f>
      </c>
      <c r="M52" s="1">
        <f>IF(D52&gt;0,1/J52,J52)</f>
      </c>
      <c r="N52" s="1">
        <f>IF(D52&gt;0,1/I52,K52)</f>
      </c>
    </row>
    <row r="53">
      <c r="A53">
        <v>33</v>
      </c>
      <c r="B53" t="str">
        <v>CP6</v>
      </c>
      <c r="C53" t="str">
        <v>CP9</v>
      </c>
      <c r="D53">
        <v>-2</v>
      </c>
      <c r="E53">
        <v>2</v>
      </c>
      <c r="F53">
        <f>ABS(D53)+1</f>
      </c>
      <c r="G53" t="str">
        <v>← CP6</v>
      </c>
      <c r="H53" t="str">
        <v>MODERATE</v>
      </c>
      <c r="I53">
        <f>IF(F53=1,1,IF(F53&lt;=3,1,IF(F53&lt;=5,3,IF(F53&lt;=7,5,7))))</f>
      </c>
      <c r="J53">
        <f>IF(F53=1,1,IF(F53&lt;=3,3,IF(F53&lt;=5,5,IF(F53&lt;=7,7,9))))</f>
      </c>
      <c r="K53">
        <f>IF(F53=1,1,IF(F53&lt;=3,5,IF(F53&lt;=5,7,IF(F53&lt;=7,9,9))))</f>
      </c>
      <c r="L53" s="1">
        <f>IF(D53&gt;0,1/K53,I53)</f>
      </c>
      <c r="M53" s="1">
        <f>IF(D53&gt;0,1/J53,J53)</f>
      </c>
      <c r="N53" s="1">
        <f>IF(D53&gt;0,1/I53,K53)</f>
      </c>
    </row>
    <row r="54">
      <c r="A54">
        <v>34</v>
      </c>
      <c r="B54" t="str">
        <v>CP7</v>
      </c>
      <c r="C54" t="str">
        <v>CP8</v>
      </c>
      <c r="D54">
        <v>0</v>
      </c>
      <c r="E54">
        <v>0</v>
      </c>
      <c r="F54">
        <f>ABS(D54)+1</f>
      </c>
      <c r="G54" t="str">
        <v>= Sama</v>
      </c>
      <c r="H54" t="str">
        <v>EQUAL</v>
      </c>
      <c r="I54">
        <f>IF(F54=1,1,IF(F54&lt;=3,1,IF(F54&lt;=5,3,IF(F54&lt;=7,5,7))))</f>
      </c>
      <c r="J54">
        <f>IF(F54=1,1,IF(F54&lt;=3,3,IF(F54&lt;=5,5,IF(F54&lt;=7,7,9))))</f>
      </c>
      <c r="K54">
        <f>IF(F54=1,1,IF(F54&lt;=3,5,IF(F54&lt;=5,7,IF(F54&lt;=7,9,9))))</f>
      </c>
      <c r="L54" s="1">
        <f>IF(D54&gt;0,1/K54,I54)</f>
      </c>
      <c r="M54" s="1">
        <f>IF(D54&gt;0,1/J54,J54)</f>
      </c>
      <c r="N54" s="1">
        <f>IF(D54&gt;0,1/I54,K54)</f>
      </c>
    </row>
    <row r="55">
      <c r="A55">
        <v>35</v>
      </c>
      <c r="B55" t="str">
        <v>CP7</v>
      </c>
      <c r="C55" t="str">
        <v>CP9</v>
      </c>
      <c r="D55">
        <v>0</v>
      </c>
      <c r="E55">
        <v>0</v>
      </c>
      <c r="F55">
        <f>ABS(D55)+1</f>
      </c>
      <c r="G55" t="str">
        <v>= Sama</v>
      </c>
      <c r="H55" t="str">
        <v>EQUAL</v>
      </c>
      <c r="I55">
        <f>IF(F55=1,1,IF(F55&lt;=3,1,IF(F55&lt;=5,3,IF(F55&lt;=7,5,7))))</f>
      </c>
      <c r="J55">
        <f>IF(F55=1,1,IF(F55&lt;=3,3,IF(F55&lt;=5,5,IF(F55&lt;=7,7,9))))</f>
      </c>
      <c r="K55">
        <f>IF(F55=1,1,IF(F55&lt;=3,5,IF(F55&lt;=5,7,IF(F55&lt;=7,9,9))))</f>
      </c>
      <c r="L55" s="1">
        <f>IF(D55&gt;0,1/K55,I55)</f>
      </c>
      <c r="M55" s="1">
        <f>IF(D55&gt;0,1/J55,J55)</f>
      </c>
      <c r="N55" s="1">
        <f>IF(D55&gt;0,1/I55,K55)</f>
      </c>
    </row>
    <row r="56">
      <c r="A56">
        <v>36</v>
      </c>
      <c r="B56" t="str">
        <v>CP8</v>
      </c>
      <c r="C56" t="str">
        <v>CP9</v>
      </c>
      <c r="D56">
        <v>0</v>
      </c>
      <c r="E56">
        <v>0</v>
      </c>
      <c r="F56">
        <f>ABS(D56)+1</f>
      </c>
      <c r="G56" t="str">
        <v>= Sama</v>
      </c>
      <c r="H56" t="str">
        <v>EQUAL</v>
      </c>
      <c r="I56">
        <f>IF(F56=1,1,IF(F56&lt;=3,1,IF(F56&lt;=5,3,IF(F56&lt;=7,5,7))))</f>
      </c>
      <c r="J56">
        <f>IF(F56=1,1,IF(F56&lt;=3,3,IF(F56&lt;=5,5,IF(F56&lt;=7,7,9))))</f>
      </c>
      <c r="K56">
        <f>IF(F56=1,1,IF(F56&lt;=3,5,IF(F56&lt;=5,7,IF(F56&lt;=7,9,9))))</f>
      </c>
      <c r="L56" s="1">
        <f>IF(D56&gt;0,1/K56,I56)</f>
      </c>
      <c r="M56" s="1">
        <f>IF(D56&gt;0,1/J56,J56)</f>
      </c>
      <c r="N56" s="1">
        <f>IF(D56&gt;0,1/I56,K56)</f>
      </c>
    </row>
    <row r="59">
      <c r="A59" t="str">
        <v>═══ RESPONDEN 2: Irdha Mirdayati ═══</v>
      </c>
    </row>
    <row r="60">
      <c r="A60" t="str">
        <v>Jabatan: Dosen | Instansi: Program studi Magister Peternakan UIN Suska Riau</v>
      </c>
    </row>
    <row r="61">
      <c r="A61" t="str">
        <v>No</v>
      </c>
      <c r="B61" t="str">
        <v>Krit. A</v>
      </c>
      <c r="C61" t="str">
        <v>Krit. B</v>
      </c>
      <c r="D61" t="str">
        <v>Slider</v>
      </c>
      <c r="E61" t="str">
        <v>|Slider|</v>
      </c>
      <c r="F61" t="str">
        <v>absVal</v>
      </c>
      <c r="G61" t="str">
        <v>Arah</v>
      </c>
      <c r="H61" t="str">
        <v>Fuzzy</v>
      </c>
      <c r="I61" t="str">
        <v>l_orig</v>
      </c>
      <c r="J61" t="str">
        <v>m_orig</v>
      </c>
      <c r="K61" t="str">
        <v>u_orig</v>
      </c>
      <c r="L61" t="str">
        <v>TFN_l</v>
      </c>
      <c r="M61" t="str">
        <v>TFN_m</v>
      </c>
      <c r="N61" t="str">
        <v>TFN_u</v>
      </c>
    </row>
    <row r="62">
      <c r="A62">
        <v>1</v>
      </c>
      <c r="B62" t="str">
        <v>CP1</v>
      </c>
      <c r="C62" t="str">
        <v>CP2</v>
      </c>
      <c r="D62">
        <v>0</v>
      </c>
      <c r="E62">
        <v>0</v>
      </c>
      <c r="F62">
        <f>ABS(D62)+1</f>
      </c>
      <c r="G62" t="str">
        <v>= Sama</v>
      </c>
      <c r="H62" t="str">
        <v>EQUAL</v>
      </c>
      <c r="I62">
        <f>IF(F62=1,1,IF(F62&lt;=3,1,IF(F62&lt;=5,3,IF(F62&lt;=7,5,7))))</f>
      </c>
      <c r="J62">
        <f>IF(F62=1,1,IF(F62&lt;=3,3,IF(F62&lt;=5,5,IF(F62&lt;=7,7,9))))</f>
      </c>
      <c r="K62">
        <f>IF(F62=1,1,IF(F62&lt;=3,5,IF(F62&lt;=5,7,IF(F62&lt;=7,9,9))))</f>
      </c>
      <c r="L62" s="1">
        <f>IF(D62&gt;0,1/K62,I62)</f>
      </c>
      <c r="M62" s="1">
        <f>IF(D62&gt;0,1/J62,J62)</f>
      </c>
      <c r="N62" s="1">
        <f>IF(D62&gt;0,1/I62,K62)</f>
      </c>
    </row>
    <row r="63">
      <c r="A63">
        <v>2</v>
      </c>
      <c r="B63" t="str">
        <v>CP1</v>
      </c>
      <c r="C63" t="str">
        <v>CP3</v>
      </c>
      <c r="D63">
        <v>0</v>
      </c>
      <c r="E63">
        <v>0</v>
      </c>
      <c r="F63">
        <f>ABS(D63)+1</f>
      </c>
      <c r="G63" t="str">
        <v>= Sama</v>
      </c>
      <c r="H63" t="str">
        <v>EQUAL</v>
      </c>
      <c r="I63">
        <f>IF(F63=1,1,IF(F63&lt;=3,1,IF(F63&lt;=5,3,IF(F63&lt;=7,5,7))))</f>
      </c>
      <c r="J63">
        <f>IF(F63=1,1,IF(F63&lt;=3,3,IF(F63&lt;=5,5,IF(F63&lt;=7,7,9))))</f>
      </c>
      <c r="K63">
        <f>IF(F63=1,1,IF(F63&lt;=3,5,IF(F63&lt;=5,7,IF(F63&lt;=7,9,9))))</f>
      </c>
      <c r="L63" s="1">
        <f>IF(D63&gt;0,1/K63,I63)</f>
      </c>
      <c r="M63" s="1">
        <f>IF(D63&gt;0,1/J63,J63)</f>
      </c>
      <c r="N63" s="1">
        <f>IF(D63&gt;0,1/I63,K63)</f>
      </c>
    </row>
    <row r="64">
      <c r="A64">
        <v>3</v>
      </c>
      <c r="B64" t="str">
        <v>CP1</v>
      </c>
      <c r="C64" t="str">
        <v>CP4</v>
      </c>
      <c r="D64">
        <v>2</v>
      </c>
      <c r="E64">
        <v>2</v>
      </c>
      <c r="F64">
        <f>ABS(D64)+1</f>
      </c>
      <c r="G64" t="str">
        <v>→ CP4</v>
      </c>
      <c r="H64" t="str">
        <v>MODERATE</v>
      </c>
      <c r="I64">
        <f>IF(F64=1,1,IF(F64&lt;=3,1,IF(F64&lt;=5,3,IF(F64&lt;=7,5,7))))</f>
      </c>
      <c r="J64">
        <f>IF(F64=1,1,IF(F64&lt;=3,3,IF(F64&lt;=5,5,IF(F64&lt;=7,7,9))))</f>
      </c>
      <c r="K64">
        <f>IF(F64=1,1,IF(F64&lt;=3,5,IF(F64&lt;=5,7,IF(F64&lt;=7,9,9))))</f>
      </c>
      <c r="L64" s="1">
        <f>IF(D64&gt;0,1/K64,I64)</f>
      </c>
      <c r="M64" s="1">
        <f>IF(D64&gt;0,1/J64,J64)</f>
      </c>
      <c r="N64" s="1">
        <f>IF(D64&gt;0,1/I64,K64)</f>
      </c>
    </row>
    <row r="65">
      <c r="A65">
        <v>4</v>
      </c>
      <c r="B65" t="str">
        <v>CP1</v>
      </c>
      <c r="C65" t="str">
        <v>CP5</v>
      </c>
      <c r="D65">
        <v>2</v>
      </c>
      <c r="E65">
        <v>2</v>
      </c>
      <c r="F65">
        <f>ABS(D65)+1</f>
      </c>
      <c r="G65" t="str">
        <v>→ CP5</v>
      </c>
      <c r="H65" t="str">
        <v>MODERATE</v>
      </c>
      <c r="I65">
        <f>IF(F65=1,1,IF(F65&lt;=3,1,IF(F65&lt;=5,3,IF(F65&lt;=7,5,7))))</f>
      </c>
      <c r="J65">
        <f>IF(F65=1,1,IF(F65&lt;=3,3,IF(F65&lt;=5,5,IF(F65&lt;=7,7,9))))</f>
      </c>
      <c r="K65">
        <f>IF(F65=1,1,IF(F65&lt;=3,5,IF(F65&lt;=5,7,IF(F65&lt;=7,9,9))))</f>
      </c>
      <c r="L65" s="1">
        <f>IF(D65&gt;0,1/K65,I65)</f>
      </c>
      <c r="M65" s="1">
        <f>IF(D65&gt;0,1/J65,J65)</f>
      </c>
      <c r="N65" s="1">
        <f>IF(D65&gt;0,1/I65,K65)</f>
      </c>
    </row>
    <row r="66">
      <c r="A66">
        <v>5</v>
      </c>
      <c r="B66" t="str">
        <v>CP1</v>
      </c>
      <c r="C66" t="str">
        <v>CP6</v>
      </c>
      <c r="D66">
        <v>4</v>
      </c>
      <c r="E66">
        <v>4</v>
      </c>
      <c r="F66">
        <f>ABS(D66)+1</f>
      </c>
      <c r="G66" t="str">
        <v>→ CP6</v>
      </c>
      <c r="H66" t="str">
        <v>STRONG</v>
      </c>
      <c r="I66">
        <f>IF(F66=1,1,IF(F66&lt;=3,1,IF(F66&lt;=5,3,IF(F66&lt;=7,5,7))))</f>
      </c>
      <c r="J66">
        <f>IF(F66=1,1,IF(F66&lt;=3,3,IF(F66&lt;=5,5,IF(F66&lt;=7,7,9))))</f>
      </c>
      <c r="K66">
        <f>IF(F66=1,1,IF(F66&lt;=3,5,IF(F66&lt;=5,7,IF(F66&lt;=7,9,9))))</f>
      </c>
      <c r="L66" s="1">
        <f>IF(D66&gt;0,1/K66,I66)</f>
      </c>
      <c r="M66" s="1">
        <f>IF(D66&gt;0,1/J66,J66)</f>
      </c>
      <c r="N66" s="1">
        <f>IF(D66&gt;0,1/I66,K66)</f>
      </c>
    </row>
    <row r="67">
      <c r="A67">
        <v>6</v>
      </c>
      <c r="B67" t="str">
        <v>CP1</v>
      </c>
      <c r="C67" t="str">
        <v>CP7</v>
      </c>
      <c r="D67">
        <v>0</v>
      </c>
      <c r="E67">
        <v>0</v>
      </c>
      <c r="F67">
        <f>ABS(D67)+1</f>
      </c>
      <c r="G67" t="str">
        <v>= Sama</v>
      </c>
      <c r="H67" t="str">
        <v>EQUAL</v>
      </c>
      <c r="I67">
        <f>IF(F67=1,1,IF(F67&lt;=3,1,IF(F67&lt;=5,3,IF(F67&lt;=7,5,7))))</f>
      </c>
      <c r="J67">
        <f>IF(F67=1,1,IF(F67&lt;=3,3,IF(F67&lt;=5,5,IF(F67&lt;=7,7,9))))</f>
      </c>
      <c r="K67">
        <f>IF(F67=1,1,IF(F67&lt;=3,5,IF(F67&lt;=5,7,IF(F67&lt;=7,9,9))))</f>
      </c>
      <c r="L67" s="1">
        <f>IF(D67&gt;0,1/K67,I67)</f>
      </c>
      <c r="M67" s="1">
        <f>IF(D67&gt;0,1/J67,J67)</f>
      </c>
      <c r="N67" s="1">
        <f>IF(D67&gt;0,1/I67,K67)</f>
      </c>
    </row>
    <row r="68">
      <c r="A68">
        <v>7</v>
      </c>
      <c r="B68" t="str">
        <v>CP1</v>
      </c>
      <c r="C68" t="str">
        <v>CP8</v>
      </c>
      <c r="D68">
        <v>1</v>
      </c>
      <c r="E68">
        <v>1</v>
      </c>
      <c r="F68">
        <f>ABS(D68)+1</f>
      </c>
      <c r="G68" t="str">
        <v>→ CP8</v>
      </c>
      <c r="H68" t="str">
        <v>MODERATE</v>
      </c>
      <c r="I68">
        <f>IF(F68=1,1,IF(F68&lt;=3,1,IF(F68&lt;=5,3,IF(F68&lt;=7,5,7))))</f>
      </c>
      <c r="J68">
        <f>IF(F68=1,1,IF(F68&lt;=3,3,IF(F68&lt;=5,5,IF(F68&lt;=7,7,9))))</f>
      </c>
      <c r="K68">
        <f>IF(F68=1,1,IF(F68&lt;=3,5,IF(F68&lt;=5,7,IF(F68&lt;=7,9,9))))</f>
      </c>
      <c r="L68" s="1">
        <f>IF(D68&gt;0,1/K68,I68)</f>
      </c>
      <c r="M68" s="1">
        <f>IF(D68&gt;0,1/J68,J68)</f>
      </c>
      <c r="N68" s="1">
        <f>IF(D68&gt;0,1/I68,K68)</f>
      </c>
    </row>
    <row r="69">
      <c r="A69">
        <v>8</v>
      </c>
      <c r="B69" t="str">
        <v>CP1</v>
      </c>
      <c r="C69" t="str">
        <v>CP9</v>
      </c>
      <c r="D69">
        <v>1</v>
      </c>
      <c r="E69">
        <v>1</v>
      </c>
      <c r="F69">
        <f>ABS(D69)+1</f>
      </c>
      <c r="G69" t="str">
        <v>→ CP9</v>
      </c>
      <c r="H69" t="str">
        <v>MODERATE</v>
      </c>
      <c r="I69">
        <f>IF(F69=1,1,IF(F69&lt;=3,1,IF(F69&lt;=5,3,IF(F69&lt;=7,5,7))))</f>
      </c>
      <c r="J69">
        <f>IF(F69=1,1,IF(F69&lt;=3,3,IF(F69&lt;=5,5,IF(F69&lt;=7,7,9))))</f>
      </c>
      <c r="K69">
        <f>IF(F69=1,1,IF(F69&lt;=3,5,IF(F69&lt;=5,7,IF(F69&lt;=7,9,9))))</f>
      </c>
      <c r="L69" s="1">
        <f>IF(D69&gt;0,1/K69,I69)</f>
      </c>
      <c r="M69" s="1">
        <f>IF(D69&gt;0,1/J69,J69)</f>
      </c>
      <c r="N69" s="1">
        <f>IF(D69&gt;0,1/I69,K69)</f>
      </c>
    </row>
    <row r="70">
      <c r="A70">
        <v>9</v>
      </c>
      <c r="B70" t="str">
        <v>CP2</v>
      </c>
      <c r="C70" t="str">
        <v>CP3</v>
      </c>
      <c r="D70">
        <v>0</v>
      </c>
      <c r="E70">
        <v>0</v>
      </c>
      <c r="F70">
        <f>ABS(D70)+1</f>
      </c>
      <c r="G70" t="str">
        <v>= Sama</v>
      </c>
      <c r="H70" t="str">
        <v>EQUAL</v>
      </c>
      <c r="I70">
        <f>IF(F70=1,1,IF(F70&lt;=3,1,IF(F70&lt;=5,3,IF(F70&lt;=7,5,7))))</f>
      </c>
      <c r="J70">
        <f>IF(F70=1,1,IF(F70&lt;=3,3,IF(F70&lt;=5,5,IF(F70&lt;=7,7,9))))</f>
      </c>
      <c r="K70">
        <f>IF(F70=1,1,IF(F70&lt;=3,5,IF(F70&lt;=5,7,IF(F70&lt;=7,9,9))))</f>
      </c>
      <c r="L70" s="1">
        <f>IF(D70&gt;0,1/K70,I70)</f>
      </c>
      <c r="M70" s="1">
        <f>IF(D70&gt;0,1/J70,J70)</f>
      </c>
      <c r="N70" s="1">
        <f>IF(D70&gt;0,1/I70,K70)</f>
      </c>
    </row>
    <row r="71">
      <c r="A71">
        <v>10</v>
      </c>
      <c r="B71" t="str">
        <v>CP2</v>
      </c>
      <c r="C71" t="str">
        <v>CP4</v>
      </c>
      <c r="D71">
        <v>1</v>
      </c>
      <c r="E71">
        <v>1</v>
      </c>
      <c r="F71">
        <f>ABS(D71)+1</f>
      </c>
      <c r="G71" t="str">
        <v>→ CP4</v>
      </c>
      <c r="H71" t="str">
        <v>MODERATE</v>
      </c>
      <c r="I71">
        <f>IF(F71=1,1,IF(F71&lt;=3,1,IF(F71&lt;=5,3,IF(F71&lt;=7,5,7))))</f>
      </c>
      <c r="J71">
        <f>IF(F71=1,1,IF(F71&lt;=3,3,IF(F71&lt;=5,5,IF(F71&lt;=7,7,9))))</f>
      </c>
      <c r="K71">
        <f>IF(F71=1,1,IF(F71&lt;=3,5,IF(F71&lt;=5,7,IF(F71&lt;=7,9,9))))</f>
      </c>
      <c r="L71" s="1">
        <f>IF(D71&gt;0,1/K71,I71)</f>
      </c>
      <c r="M71" s="1">
        <f>IF(D71&gt;0,1/J71,J71)</f>
      </c>
      <c r="N71" s="1">
        <f>IF(D71&gt;0,1/I71,K71)</f>
      </c>
    </row>
    <row r="72">
      <c r="A72">
        <v>11</v>
      </c>
      <c r="B72" t="str">
        <v>CP2</v>
      </c>
      <c r="C72" t="str">
        <v>CP5</v>
      </c>
      <c r="D72">
        <v>1</v>
      </c>
      <c r="E72">
        <v>1</v>
      </c>
      <c r="F72">
        <f>ABS(D72)+1</f>
      </c>
      <c r="G72" t="str">
        <v>→ CP5</v>
      </c>
      <c r="H72" t="str">
        <v>MODERATE</v>
      </c>
      <c r="I72">
        <f>IF(F72=1,1,IF(F72&lt;=3,1,IF(F72&lt;=5,3,IF(F72&lt;=7,5,7))))</f>
      </c>
      <c r="J72">
        <f>IF(F72=1,1,IF(F72&lt;=3,3,IF(F72&lt;=5,5,IF(F72&lt;=7,7,9))))</f>
      </c>
      <c r="K72">
        <f>IF(F72=1,1,IF(F72&lt;=3,5,IF(F72&lt;=5,7,IF(F72&lt;=7,9,9))))</f>
      </c>
      <c r="L72" s="1">
        <f>IF(D72&gt;0,1/K72,I72)</f>
      </c>
      <c r="M72" s="1">
        <f>IF(D72&gt;0,1/J72,J72)</f>
      </c>
      <c r="N72" s="1">
        <f>IF(D72&gt;0,1/I72,K72)</f>
      </c>
    </row>
    <row r="73">
      <c r="A73">
        <v>12</v>
      </c>
      <c r="B73" t="str">
        <v>CP2</v>
      </c>
      <c r="C73" t="str">
        <v>CP6</v>
      </c>
      <c r="D73">
        <v>3</v>
      </c>
      <c r="E73">
        <v>3</v>
      </c>
      <c r="F73">
        <f>ABS(D73)+1</f>
      </c>
      <c r="G73" t="str">
        <v>→ CP6</v>
      </c>
      <c r="H73" t="str">
        <v>STRONG</v>
      </c>
      <c r="I73">
        <f>IF(F73=1,1,IF(F73&lt;=3,1,IF(F73&lt;=5,3,IF(F73&lt;=7,5,7))))</f>
      </c>
      <c r="J73">
        <f>IF(F73=1,1,IF(F73&lt;=3,3,IF(F73&lt;=5,5,IF(F73&lt;=7,7,9))))</f>
      </c>
      <c r="K73">
        <f>IF(F73=1,1,IF(F73&lt;=3,5,IF(F73&lt;=5,7,IF(F73&lt;=7,9,9))))</f>
      </c>
      <c r="L73" s="1">
        <f>IF(D73&gt;0,1/K73,I73)</f>
      </c>
      <c r="M73" s="1">
        <f>IF(D73&gt;0,1/J73,J73)</f>
      </c>
      <c r="N73" s="1">
        <f>IF(D73&gt;0,1/I73,K73)</f>
      </c>
    </row>
    <row r="74">
      <c r="A74">
        <v>13</v>
      </c>
      <c r="B74" t="str">
        <v>CP2</v>
      </c>
      <c r="C74" t="str">
        <v>CP7</v>
      </c>
      <c r="D74">
        <v>0</v>
      </c>
      <c r="E74">
        <v>0</v>
      </c>
      <c r="F74">
        <f>ABS(D74)+1</f>
      </c>
      <c r="G74" t="str">
        <v>= Sama</v>
      </c>
      <c r="H74" t="str">
        <v>EQUAL</v>
      </c>
      <c r="I74">
        <f>IF(F74=1,1,IF(F74&lt;=3,1,IF(F74&lt;=5,3,IF(F74&lt;=7,5,7))))</f>
      </c>
      <c r="J74">
        <f>IF(F74=1,1,IF(F74&lt;=3,3,IF(F74&lt;=5,5,IF(F74&lt;=7,7,9))))</f>
      </c>
      <c r="K74">
        <f>IF(F74=1,1,IF(F74&lt;=3,5,IF(F74&lt;=5,7,IF(F74&lt;=7,9,9))))</f>
      </c>
      <c r="L74" s="1">
        <f>IF(D74&gt;0,1/K74,I74)</f>
      </c>
      <c r="M74" s="1">
        <f>IF(D74&gt;0,1/J74,J74)</f>
      </c>
      <c r="N74" s="1">
        <f>IF(D74&gt;0,1/I74,K74)</f>
      </c>
    </row>
    <row r="75">
      <c r="A75">
        <v>14</v>
      </c>
      <c r="B75" t="str">
        <v>CP2</v>
      </c>
      <c r="C75" t="str">
        <v>CP8</v>
      </c>
      <c r="D75">
        <v>0</v>
      </c>
      <c r="E75">
        <v>0</v>
      </c>
      <c r="F75">
        <f>ABS(D75)+1</f>
      </c>
      <c r="G75" t="str">
        <v>= Sama</v>
      </c>
      <c r="H75" t="str">
        <v>EQUAL</v>
      </c>
      <c r="I75">
        <f>IF(F75=1,1,IF(F75&lt;=3,1,IF(F75&lt;=5,3,IF(F75&lt;=7,5,7))))</f>
      </c>
      <c r="J75">
        <f>IF(F75=1,1,IF(F75&lt;=3,3,IF(F75&lt;=5,5,IF(F75&lt;=7,7,9))))</f>
      </c>
      <c r="K75">
        <f>IF(F75=1,1,IF(F75&lt;=3,5,IF(F75&lt;=5,7,IF(F75&lt;=7,9,9))))</f>
      </c>
      <c r="L75" s="1">
        <f>IF(D75&gt;0,1/K75,I75)</f>
      </c>
      <c r="M75" s="1">
        <f>IF(D75&gt;0,1/J75,J75)</f>
      </c>
      <c r="N75" s="1">
        <f>IF(D75&gt;0,1/I75,K75)</f>
      </c>
    </row>
    <row r="76">
      <c r="A76">
        <v>15</v>
      </c>
      <c r="B76" t="str">
        <v>CP2</v>
      </c>
      <c r="C76" t="str">
        <v>CP9</v>
      </c>
      <c r="D76">
        <v>0</v>
      </c>
      <c r="E76">
        <v>0</v>
      </c>
      <c r="F76">
        <f>ABS(D76)+1</f>
      </c>
      <c r="G76" t="str">
        <v>= Sama</v>
      </c>
      <c r="H76" t="str">
        <v>EQUAL</v>
      </c>
      <c r="I76">
        <f>IF(F76=1,1,IF(F76&lt;=3,1,IF(F76&lt;=5,3,IF(F76&lt;=7,5,7))))</f>
      </c>
      <c r="J76">
        <f>IF(F76=1,1,IF(F76&lt;=3,3,IF(F76&lt;=5,5,IF(F76&lt;=7,7,9))))</f>
      </c>
      <c r="K76">
        <f>IF(F76=1,1,IF(F76&lt;=3,5,IF(F76&lt;=5,7,IF(F76&lt;=7,9,9))))</f>
      </c>
      <c r="L76" s="1">
        <f>IF(D76&gt;0,1/K76,I76)</f>
      </c>
      <c r="M76" s="1">
        <f>IF(D76&gt;0,1/J76,J76)</f>
      </c>
      <c r="N76" s="1">
        <f>IF(D76&gt;0,1/I76,K76)</f>
      </c>
    </row>
    <row r="77">
      <c r="A77">
        <v>16</v>
      </c>
      <c r="B77" t="str">
        <v>CP3</v>
      </c>
      <c r="C77" t="str">
        <v>CP4</v>
      </c>
      <c r="D77">
        <v>2</v>
      </c>
      <c r="E77">
        <v>2</v>
      </c>
      <c r="F77">
        <f>ABS(D77)+1</f>
      </c>
      <c r="G77" t="str">
        <v>→ CP4</v>
      </c>
      <c r="H77" t="str">
        <v>MODERATE</v>
      </c>
      <c r="I77">
        <f>IF(F77=1,1,IF(F77&lt;=3,1,IF(F77&lt;=5,3,IF(F77&lt;=7,5,7))))</f>
      </c>
      <c r="J77">
        <f>IF(F77=1,1,IF(F77&lt;=3,3,IF(F77&lt;=5,5,IF(F77&lt;=7,7,9))))</f>
      </c>
      <c r="K77">
        <f>IF(F77=1,1,IF(F77&lt;=3,5,IF(F77&lt;=5,7,IF(F77&lt;=7,9,9))))</f>
      </c>
      <c r="L77" s="1">
        <f>IF(D77&gt;0,1/K77,I77)</f>
      </c>
      <c r="M77" s="1">
        <f>IF(D77&gt;0,1/J77,J77)</f>
      </c>
      <c r="N77" s="1">
        <f>IF(D77&gt;0,1/I77,K77)</f>
      </c>
    </row>
    <row r="78">
      <c r="A78">
        <v>17</v>
      </c>
      <c r="B78" t="str">
        <v>CP3</v>
      </c>
      <c r="C78" t="str">
        <v>CP5</v>
      </c>
      <c r="D78">
        <v>2</v>
      </c>
      <c r="E78">
        <v>2</v>
      </c>
      <c r="F78">
        <f>ABS(D78)+1</f>
      </c>
      <c r="G78" t="str">
        <v>→ CP5</v>
      </c>
      <c r="H78" t="str">
        <v>MODERATE</v>
      </c>
      <c r="I78">
        <f>IF(F78=1,1,IF(F78&lt;=3,1,IF(F78&lt;=5,3,IF(F78&lt;=7,5,7))))</f>
      </c>
      <c r="J78">
        <f>IF(F78=1,1,IF(F78&lt;=3,3,IF(F78&lt;=5,5,IF(F78&lt;=7,7,9))))</f>
      </c>
      <c r="K78">
        <f>IF(F78=1,1,IF(F78&lt;=3,5,IF(F78&lt;=5,7,IF(F78&lt;=7,9,9))))</f>
      </c>
      <c r="L78" s="1">
        <f>IF(D78&gt;0,1/K78,I78)</f>
      </c>
      <c r="M78" s="1">
        <f>IF(D78&gt;0,1/J78,J78)</f>
      </c>
      <c r="N78" s="1">
        <f>IF(D78&gt;0,1/I78,K78)</f>
      </c>
    </row>
    <row r="79">
      <c r="A79">
        <v>18</v>
      </c>
      <c r="B79" t="str">
        <v>CP3</v>
      </c>
      <c r="C79" t="str">
        <v>CP6</v>
      </c>
      <c r="D79">
        <v>4</v>
      </c>
      <c r="E79">
        <v>4</v>
      </c>
      <c r="F79">
        <f>ABS(D79)+1</f>
      </c>
      <c r="G79" t="str">
        <v>→ CP6</v>
      </c>
      <c r="H79" t="str">
        <v>STRONG</v>
      </c>
      <c r="I79">
        <f>IF(F79=1,1,IF(F79&lt;=3,1,IF(F79&lt;=5,3,IF(F79&lt;=7,5,7))))</f>
      </c>
      <c r="J79">
        <f>IF(F79=1,1,IF(F79&lt;=3,3,IF(F79&lt;=5,5,IF(F79&lt;=7,7,9))))</f>
      </c>
      <c r="K79">
        <f>IF(F79=1,1,IF(F79&lt;=3,5,IF(F79&lt;=5,7,IF(F79&lt;=7,9,9))))</f>
      </c>
      <c r="L79" s="1">
        <f>IF(D79&gt;0,1/K79,I79)</f>
      </c>
      <c r="M79" s="1">
        <f>IF(D79&gt;0,1/J79,J79)</f>
      </c>
      <c r="N79" s="1">
        <f>IF(D79&gt;0,1/I79,K79)</f>
      </c>
    </row>
    <row r="80">
      <c r="A80">
        <v>19</v>
      </c>
      <c r="B80" t="str">
        <v>CP3</v>
      </c>
      <c r="C80" t="str">
        <v>CP7</v>
      </c>
      <c r="D80">
        <v>0</v>
      </c>
      <c r="E80">
        <v>0</v>
      </c>
      <c r="F80">
        <f>ABS(D80)+1</f>
      </c>
      <c r="G80" t="str">
        <v>= Sama</v>
      </c>
      <c r="H80" t="str">
        <v>EQUAL</v>
      </c>
      <c r="I80">
        <f>IF(F80=1,1,IF(F80&lt;=3,1,IF(F80&lt;=5,3,IF(F80&lt;=7,5,7))))</f>
      </c>
      <c r="J80">
        <f>IF(F80=1,1,IF(F80&lt;=3,3,IF(F80&lt;=5,5,IF(F80&lt;=7,7,9))))</f>
      </c>
      <c r="K80">
        <f>IF(F80=1,1,IF(F80&lt;=3,5,IF(F80&lt;=5,7,IF(F80&lt;=7,9,9))))</f>
      </c>
      <c r="L80" s="1">
        <f>IF(D80&gt;0,1/K80,I80)</f>
      </c>
      <c r="M80" s="1">
        <f>IF(D80&gt;0,1/J80,J80)</f>
      </c>
      <c r="N80" s="1">
        <f>IF(D80&gt;0,1/I80,K80)</f>
      </c>
    </row>
    <row r="81">
      <c r="A81">
        <v>20</v>
      </c>
      <c r="B81" t="str">
        <v>CP3</v>
      </c>
      <c r="C81" t="str">
        <v>CP8</v>
      </c>
      <c r="D81">
        <v>1</v>
      </c>
      <c r="E81">
        <v>1</v>
      </c>
      <c r="F81">
        <f>ABS(D81)+1</f>
      </c>
      <c r="G81" t="str">
        <v>→ CP8</v>
      </c>
      <c r="H81" t="str">
        <v>MODERATE</v>
      </c>
      <c r="I81">
        <f>IF(F81=1,1,IF(F81&lt;=3,1,IF(F81&lt;=5,3,IF(F81&lt;=7,5,7))))</f>
      </c>
      <c r="J81">
        <f>IF(F81=1,1,IF(F81&lt;=3,3,IF(F81&lt;=5,5,IF(F81&lt;=7,7,9))))</f>
      </c>
      <c r="K81">
        <f>IF(F81=1,1,IF(F81&lt;=3,5,IF(F81&lt;=5,7,IF(F81&lt;=7,9,9))))</f>
      </c>
      <c r="L81" s="1">
        <f>IF(D81&gt;0,1/K81,I81)</f>
      </c>
      <c r="M81" s="1">
        <f>IF(D81&gt;0,1/J81,J81)</f>
      </c>
      <c r="N81" s="1">
        <f>IF(D81&gt;0,1/I81,K81)</f>
      </c>
    </row>
    <row r="82">
      <c r="A82">
        <v>21</v>
      </c>
      <c r="B82" t="str">
        <v>CP3</v>
      </c>
      <c r="C82" t="str">
        <v>CP9</v>
      </c>
      <c r="D82">
        <v>1</v>
      </c>
      <c r="E82">
        <v>1</v>
      </c>
      <c r="F82">
        <f>ABS(D82)+1</f>
      </c>
      <c r="G82" t="str">
        <v>→ CP9</v>
      </c>
      <c r="H82" t="str">
        <v>MODERATE</v>
      </c>
      <c r="I82">
        <f>IF(F82=1,1,IF(F82&lt;=3,1,IF(F82&lt;=5,3,IF(F82&lt;=7,5,7))))</f>
      </c>
      <c r="J82">
        <f>IF(F82=1,1,IF(F82&lt;=3,3,IF(F82&lt;=5,5,IF(F82&lt;=7,7,9))))</f>
      </c>
      <c r="K82">
        <f>IF(F82=1,1,IF(F82&lt;=3,5,IF(F82&lt;=5,7,IF(F82&lt;=7,9,9))))</f>
      </c>
      <c r="L82" s="1">
        <f>IF(D82&gt;0,1/K82,I82)</f>
      </c>
      <c r="M82" s="1">
        <f>IF(D82&gt;0,1/J82,J82)</f>
      </c>
      <c r="N82" s="1">
        <f>IF(D82&gt;0,1/I82,K82)</f>
      </c>
    </row>
    <row r="83">
      <c r="A83">
        <v>22</v>
      </c>
      <c r="B83" t="str">
        <v>CP4</v>
      </c>
      <c r="C83" t="str">
        <v>CP5</v>
      </c>
      <c r="D83">
        <v>0</v>
      </c>
      <c r="E83">
        <v>0</v>
      </c>
      <c r="F83">
        <f>ABS(D83)+1</f>
      </c>
      <c r="G83" t="str">
        <v>= Sama</v>
      </c>
      <c r="H83" t="str">
        <v>EQUAL</v>
      </c>
      <c r="I83">
        <f>IF(F83=1,1,IF(F83&lt;=3,1,IF(F83&lt;=5,3,IF(F83&lt;=7,5,7))))</f>
      </c>
      <c r="J83">
        <f>IF(F83=1,1,IF(F83&lt;=3,3,IF(F83&lt;=5,5,IF(F83&lt;=7,7,9))))</f>
      </c>
      <c r="K83">
        <f>IF(F83=1,1,IF(F83&lt;=3,5,IF(F83&lt;=5,7,IF(F83&lt;=7,9,9))))</f>
      </c>
      <c r="L83" s="1">
        <f>IF(D83&gt;0,1/K83,I83)</f>
      </c>
      <c r="M83" s="1">
        <f>IF(D83&gt;0,1/J83,J83)</f>
      </c>
      <c r="N83" s="1">
        <f>IF(D83&gt;0,1/I83,K83)</f>
      </c>
    </row>
    <row r="84">
      <c r="A84">
        <v>23</v>
      </c>
      <c r="B84" t="str">
        <v>CP4</v>
      </c>
      <c r="C84" t="str">
        <v>CP6</v>
      </c>
      <c r="D84">
        <v>1</v>
      </c>
      <c r="E84">
        <v>1</v>
      </c>
      <c r="F84">
        <f>ABS(D84)+1</f>
      </c>
      <c r="G84" t="str">
        <v>→ CP6</v>
      </c>
      <c r="H84" t="str">
        <v>MODERATE</v>
      </c>
      <c r="I84">
        <f>IF(F84=1,1,IF(F84&lt;=3,1,IF(F84&lt;=5,3,IF(F84&lt;=7,5,7))))</f>
      </c>
      <c r="J84">
        <f>IF(F84=1,1,IF(F84&lt;=3,3,IF(F84&lt;=5,5,IF(F84&lt;=7,7,9))))</f>
      </c>
      <c r="K84">
        <f>IF(F84=1,1,IF(F84&lt;=3,5,IF(F84&lt;=5,7,IF(F84&lt;=7,9,9))))</f>
      </c>
      <c r="L84" s="1">
        <f>IF(D84&gt;0,1/K84,I84)</f>
      </c>
      <c r="M84" s="1">
        <f>IF(D84&gt;0,1/J84,J84)</f>
      </c>
      <c r="N84" s="1">
        <f>IF(D84&gt;0,1/I84,K84)</f>
      </c>
    </row>
    <row r="85">
      <c r="A85">
        <v>24</v>
      </c>
      <c r="B85" t="str">
        <v>CP4</v>
      </c>
      <c r="C85" t="str">
        <v>CP7</v>
      </c>
      <c r="D85">
        <v>-1</v>
      </c>
      <c r="E85">
        <v>1</v>
      </c>
      <c r="F85">
        <f>ABS(D85)+1</f>
      </c>
      <c r="G85" t="str">
        <v>← CP4</v>
      </c>
      <c r="H85" t="str">
        <v>MODERATE</v>
      </c>
      <c r="I85">
        <f>IF(F85=1,1,IF(F85&lt;=3,1,IF(F85&lt;=5,3,IF(F85&lt;=7,5,7))))</f>
      </c>
      <c r="J85">
        <f>IF(F85=1,1,IF(F85&lt;=3,3,IF(F85&lt;=5,5,IF(F85&lt;=7,7,9))))</f>
      </c>
      <c r="K85">
        <f>IF(F85=1,1,IF(F85&lt;=3,5,IF(F85&lt;=5,7,IF(F85&lt;=7,9,9))))</f>
      </c>
      <c r="L85" s="1">
        <f>IF(D85&gt;0,1/K85,I85)</f>
      </c>
      <c r="M85" s="1">
        <f>IF(D85&gt;0,1/J85,J85)</f>
      </c>
      <c r="N85" s="1">
        <f>IF(D85&gt;0,1/I85,K85)</f>
      </c>
    </row>
    <row r="86">
      <c r="A86">
        <v>25</v>
      </c>
      <c r="B86" t="str">
        <v>CP4</v>
      </c>
      <c r="C86" t="str">
        <v>CP8</v>
      </c>
      <c r="D86">
        <v>-1</v>
      </c>
      <c r="E86">
        <v>1</v>
      </c>
      <c r="F86">
        <f>ABS(D86)+1</f>
      </c>
      <c r="G86" t="str">
        <v>← CP4</v>
      </c>
      <c r="H86" t="str">
        <v>MODERATE</v>
      </c>
      <c r="I86">
        <f>IF(F86=1,1,IF(F86&lt;=3,1,IF(F86&lt;=5,3,IF(F86&lt;=7,5,7))))</f>
      </c>
      <c r="J86">
        <f>IF(F86=1,1,IF(F86&lt;=3,3,IF(F86&lt;=5,5,IF(F86&lt;=7,7,9))))</f>
      </c>
      <c r="K86">
        <f>IF(F86=1,1,IF(F86&lt;=3,5,IF(F86&lt;=5,7,IF(F86&lt;=7,9,9))))</f>
      </c>
      <c r="L86" s="1">
        <f>IF(D86&gt;0,1/K86,I86)</f>
      </c>
      <c r="M86" s="1">
        <f>IF(D86&gt;0,1/J86,J86)</f>
      </c>
      <c r="N86" s="1">
        <f>IF(D86&gt;0,1/I86,K86)</f>
      </c>
    </row>
    <row r="87">
      <c r="A87">
        <v>26</v>
      </c>
      <c r="B87" t="str">
        <v>CP4</v>
      </c>
      <c r="C87" t="str">
        <v>CP9</v>
      </c>
      <c r="D87">
        <v>-1</v>
      </c>
      <c r="E87">
        <v>1</v>
      </c>
      <c r="F87">
        <f>ABS(D87)+1</f>
      </c>
      <c r="G87" t="str">
        <v>← CP4</v>
      </c>
      <c r="H87" t="str">
        <v>MODERATE</v>
      </c>
      <c r="I87">
        <f>IF(F87=1,1,IF(F87&lt;=3,1,IF(F87&lt;=5,3,IF(F87&lt;=7,5,7))))</f>
      </c>
      <c r="J87">
        <f>IF(F87=1,1,IF(F87&lt;=3,3,IF(F87&lt;=5,5,IF(F87&lt;=7,7,9))))</f>
      </c>
      <c r="K87">
        <f>IF(F87=1,1,IF(F87&lt;=3,5,IF(F87&lt;=5,7,IF(F87&lt;=7,9,9))))</f>
      </c>
      <c r="L87" s="1">
        <f>IF(D87&gt;0,1/K87,I87)</f>
      </c>
      <c r="M87" s="1">
        <f>IF(D87&gt;0,1/J87,J87)</f>
      </c>
      <c r="N87" s="1">
        <f>IF(D87&gt;0,1/I87,K87)</f>
      </c>
    </row>
    <row r="88">
      <c r="A88">
        <v>27</v>
      </c>
      <c r="B88" t="str">
        <v>CP5</v>
      </c>
      <c r="C88" t="str">
        <v>CP6</v>
      </c>
      <c r="D88">
        <v>1</v>
      </c>
      <c r="E88">
        <v>1</v>
      </c>
      <c r="F88">
        <f>ABS(D88)+1</f>
      </c>
      <c r="G88" t="str">
        <v>→ CP6</v>
      </c>
      <c r="H88" t="str">
        <v>MODERATE</v>
      </c>
      <c r="I88">
        <f>IF(F88=1,1,IF(F88&lt;=3,1,IF(F88&lt;=5,3,IF(F88&lt;=7,5,7))))</f>
      </c>
      <c r="J88">
        <f>IF(F88=1,1,IF(F88&lt;=3,3,IF(F88&lt;=5,5,IF(F88&lt;=7,7,9))))</f>
      </c>
      <c r="K88">
        <f>IF(F88=1,1,IF(F88&lt;=3,5,IF(F88&lt;=5,7,IF(F88&lt;=7,9,9))))</f>
      </c>
      <c r="L88" s="1">
        <f>IF(D88&gt;0,1/K88,I88)</f>
      </c>
      <c r="M88" s="1">
        <f>IF(D88&gt;0,1/J88,J88)</f>
      </c>
      <c r="N88" s="1">
        <f>IF(D88&gt;0,1/I88,K88)</f>
      </c>
    </row>
    <row r="89">
      <c r="A89">
        <v>28</v>
      </c>
      <c r="B89" t="str">
        <v>CP5</v>
      </c>
      <c r="C89" t="str">
        <v>CP7</v>
      </c>
      <c r="D89">
        <v>-1</v>
      </c>
      <c r="E89">
        <v>1</v>
      </c>
      <c r="F89">
        <f>ABS(D89)+1</f>
      </c>
      <c r="G89" t="str">
        <v>← CP5</v>
      </c>
      <c r="H89" t="str">
        <v>MODERATE</v>
      </c>
      <c r="I89">
        <f>IF(F89=1,1,IF(F89&lt;=3,1,IF(F89&lt;=5,3,IF(F89&lt;=7,5,7))))</f>
      </c>
      <c r="J89">
        <f>IF(F89=1,1,IF(F89&lt;=3,3,IF(F89&lt;=5,5,IF(F89&lt;=7,7,9))))</f>
      </c>
      <c r="K89">
        <f>IF(F89=1,1,IF(F89&lt;=3,5,IF(F89&lt;=5,7,IF(F89&lt;=7,9,9))))</f>
      </c>
      <c r="L89" s="1">
        <f>IF(D89&gt;0,1/K89,I89)</f>
      </c>
      <c r="M89" s="1">
        <f>IF(D89&gt;0,1/J89,J89)</f>
      </c>
      <c r="N89" s="1">
        <f>IF(D89&gt;0,1/I89,K89)</f>
      </c>
    </row>
    <row r="90">
      <c r="A90">
        <v>29</v>
      </c>
      <c r="B90" t="str">
        <v>CP5</v>
      </c>
      <c r="C90" t="str">
        <v>CP8</v>
      </c>
      <c r="D90">
        <v>-1</v>
      </c>
      <c r="E90">
        <v>1</v>
      </c>
      <c r="F90">
        <f>ABS(D90)+1</f>
      </c>
      <c r="G90" t="str">
        <v>← CP5</v>
      </c>
      <c r="H90" t="str">
        <v>MODERATE</v>
      </c>
      <c r="I90">
        <f>IF(F90=1,1,IF(F90&lt;=3,1,IF(F90&lt;=5,3,IF(F90&lt;=7,5,7))))</f>
      </c>
      <c r="J90">
        <f>IF(F90=1,1,IF(F90&lt;=3,3,IF(F90&lt;=5,5,IF(F90&lt;=7,7,9))))</f>
      </c>
      <c r="K90">
        <f>IF(F90=1,1,IF(F90&lt;=3,5,IF(F90&lt;=5,7,IF(F90&lt;=7,9,9))))</f>
      </c>
      <c r="L90" s="1">
        <f>IF(D90&gt;0,1/K90,I90)</f>
      </c>
      <c r="M90" s="1">
        <f>IF(D90&gt;0,1/J90,J90)</f>
      </c>
      <c r="N90" s="1">
        <f>IF(D90&gt;0,1/I90,K90)</f>
      </c>
    </row>
    <row r="91">
      <c r="A91">
        <v>30</v>
      </c>
      <c r="B91" t="str">
        <v>CP5</v>
      </c>
      <c r="C91" t="str">
        <v>CP9</v>
      </c>
      <c r="D91">
        <v>-1</v>
      </c>
      <c r="E91">
        <v>1</v>
      </c>
      <c r="F91">
        <f>ABS(D91)+1</f>
      </c>
      <c r="G91" t="str">
        <v>← CP5</v>
      </c>
      <c r="H91" t="str">
        <v>MODERATE</v>
      </c>
      <c r="I91">
        <f>IF(F91=1,1,IF(F91&lt;=3,1,IF(F91&lt;=5,3,IF(F91&lt;=7,5,7))))</f>
      </c>
      <c r="J91">
        <f>IF(F91=1,1,IF(F91&lt;=3,3,IF(F91&lt;=5,5,IF(F91&lt;=7,7,9))))</f>
      </c>
      <c r="K91">
        <f>IF(F91=1,1,IF(F91&lt;=3,5,IF(F91&lt;=5,7,IF(F91&lt;=7,9,9))))</f>
      </c>
      <c r="L91" s="1">
        <f>IF(D91&gt;0,1/K91,I91)</f>
      </c>
      <c r="M91" s="1">
        <f>IF(D91&gt;0,1/J91,J91)</f>
      </c>
      <c r="N91" s="1">
        <f>IF(D91&gt;0,1/I91,K91)</f>
      </c>
    </row>
    <row r="92">
      <c r="A92">
        <v>31</v>
      </c>
      <c r="B92" t="str">
        <v>CP6</v>
      </c>
      <c r="C92" t="str">
        <v>CP7</v>
      </c>
      <c r="D92">
        <v>-3</v>
      </c>
      <c r="E92">
        <v>3</v>
      </c>
      <c r="F92">
        <f>ABS(D92)+1</f>
      </c>
      <c r="G92" t="str">
        <v>← CP6</v>
      </c>
      <c r="H92" t="str">
        <v>STRONG</v>
      </c>
      <c r="I92">
        <f>IF(F92=1,1,IF(F92&lt;=3,1,IF(F92&lt;=5,3,IF(F92&lt;=7,5,7))))</f>
      </c>
      <c r="J92">
        <f>IF(F92=1,1,IF(F92&lt;=3,3,IF(F92&lt;=5,5,IF(F92&lt;=7,7,9))))</f>
      </c>
      <c r="K92">
        <f>IF(F92=1,1,IF(F92&lt;=3,5,IF(F92&lt;=5,7,IF(F92&lt;=7,9,9))))</f>
      </c>
      <c r="L92" s="1">
        <f>IF(D92&gt;0,1/K92,I92)</f>
      </c>
      <c r="M92" s="1">
        <f>IF(D92&gt;0,1/J92,J92)</f>
      </c>
      <c r="N92" s="1">
        <f>IF(D92&gt;0,1/I92,K92)</f>
      </c>
    </row>
    <row r="93">
      <c r="A93">
        <v>32</v>
      </c>
      <c r="B93" t="str">
        <v>CP6</v>
      </c>
      <c r="C93" t="str">
        <v>CP8</v>
      </c>
      <c r="D93">
        <v>-2</v>
      </c>
      <c r="E93">
        <v>2</v>
      </c>
      <c r="F93">
        <f>ABS(D93)+1</f>
      </c>
      <c r="G93" t="str">
        <v>← CP6</v>
      </c>
      <c r="H93" t="str">
        <v>MODERATE</v>
      </c>
      <c r="I93">
        <f>IF(F93=1,1,IF(F93&lt;=3,1,IF(F93&lt;=5,3,IF(F93&lt;=7,5,7))))</f>
      </c>
      <c r="J93">
        <f>IF(F93=1,1,IF(F93&lt;=3,3,IF(F93&lt;=5,5,IF(F93&lt;=7,7,9))))</f>
      </c>
      <c r="K93">
        <f>IF(F93=1,1,IF(F93&lt;=3,5,IF(F93&lt;=5,7,IF(F93&lt;=7,9,9))))</f>
      </c>
      <c r="L93" s="1">
        <f>IF(D93&gt;0,1/K93,I93)</f>
      </c>
      <c r="M93" s="1">
        <f>IF(D93&gt;0,1/J93,J93)</f>
      </c>
      <c r="N93" s="1">
        <f>IF(D93&gt;0,1/I93,K93)</f>
      </c>
    </row>
    <row r="94">
      <c r="A94">
        <v>33</v>
      </c>
      <c r="B94" t="str">
        <v>CP6</v>
      </c>
      <c r="C94" t="str">
        <v>CP9</v>
      </c>
      <c r="D94">
        <v>-2</v>
      </c>
      <c r="E94">
        <v>2</v>
      </c>
      <c r="F94">
        <f>ABS(D94)+1</f>
      </c>
      <c r="G94" t="str">
        <v>← CP6</v>
      </c>
      <c r="H94" t="str">
        <v>MODERATE</v>
      </c>
      <c r="I94">
        <f>IF(F94=1,1,IF(F94&lt;=3,1,IF(F94&lt;=5,3,IF(F94&lt;=7,5,7))))</f>
      </c>
      <c r="J94">
        <f>IF(F94=1,1,IF(F94&lt;=3,3,IF(F94&lt;=5,5,IF(F94&lt;=7,7,9))))</f>
      </c>
      <c r="K94">
        <f>IF(F94=1,1,IF(F94&lt;=3,5,IF(F94&lt;=5,7,IF(F94&lt;=7,9,9))))</f>
      </c>
      <c r="L94" s="1">
        <f>IF(D94&gt;0,1/K94,I94)</f>
      </c>
      <c r="M94" s="1">
        <f>IF(D94&gt;0,1/J94,J94)</f>
      </c>
      <c r="N94" s="1">
        <f>IF(D94&gt;0,1/I94,K94)</f>
      </c>
    </row>
    <row r="95">
      <c r="A95">
        <v>34</v>
      </c>
      <c r="B95" t="str">
        <v>CP7</v>
      </c>
      <c r="C95" t="str">
        <v>CP8</v>
      </c>
      <c r="D95">
        <v>0</v>
      </c>
      <c r="E95">
        <v>0</v>
      </c>
      <c r="F95">
        <f>ABS(D95)+1</f>
      </c>
      <c r="G95" t="str">
        <v>= Sama</v>
      </c>
      <c r="H95" t="str">
        <v>EQUAL</v>
      </c>
      <c r="I95">
        <f>IF(F95=1,1,IF(F95&lt;=3,1,IF(F95&lt;=5,3,IF(F95&lt;=7,5,7))))</f>
      </c>
      <c r="J95">
        <f>IF(F95=1,1,IF(F95&lt;=3,3,IF(F95&lt;=5,5,IF(F95&lt;=7,7,9))))</f>
      </c>
      <c r="K95">
        <f>IF(F95=1,1,IF(F95&lt;=3,5,IF(F95&lt;=5,7,IF(F95&lt;=7,9,9))))</f>
      </c>
      <c r="L95" s="1">
        <f>IF(D95&gt;0,1/K95,I95)</f>
      </c>
      <c r="M95" s="1">
        <f>IF(D95&gt;0,1/J95,J95)</f>
      </c>
      <c r="N95" s="1">
        <f>IF(D95&gt;0,1/I95,K95)</f>
      </c>
    </row>
    <row r="96">
      <c r="A96">
        <v>35</v>
      </c>
      <c r="B96" t="str">
        <v>CP7</v>
      </c>
      <c r="C96" t="str">
        <v>CP9</v>
      </c>
      <c r="D96">
        <v>0</v>
      </c>
      <c r="E96">
        <v>0</v>
      </c>
      <c r="F96">
        <f>ABS(D96)+1</f>
      </c>
      <c r="G96" t="str">
        <v>= Sama</v>
      </c>
      <c r="H96" t="str">
        <v>EQUAL</v>
      </c>
      <c r="I96">
        <f>IF(F96=1,1,IF(F96&lt;=3,1,IF(F96&lt;=5,3,IF(F96&lt;=7,5,7))))</f>
      </c>
      <c r="J96">
        <f>IF(F96=1,1,IF(F96&lt;=3,3,IF(F96&lt;=5,5,IF(F96&lt;=7,7,9))))</f>
      </c>
      <c r="K96">
        <f>IF(F96=1,1,IF(F96&lt;=3,5,IF(F96&lt;=5,7,IF(F96&lt;=7,9,9))))</f>
      </c>
      <c r="L96" s="1">
        <f>IF(D96&gt;0,1/K96,I96)</f>
      </c>
      <c r="M96" s="1">
        <f>IF(D96&gt;0,1/J96,J96)</f>
      </c>
      <c r="N96" s="1">
        <f>IF(D96&gt;0,1/I96,K96)</f>
      </c>
    </row>
    <row r="97">
      <c r="A97">
        <v>36</v>
      </c>
      <c r="B97" t="str">
        <v>CP8</v>
      </c>
      <c r="C97" t="str">
        <v>CP9</v>
      </c>
      <c r="D97">
        <v>0</v>
      </c>
      <c r="E97">
        <v>0</v>
      </c>
      <c r="F97">
        <f>ABS(D97)+1</f>
      </c>
      <c r="G97" t="str">
        <v>= Sama</v>
      </c>
      <c r="H97" t="str">
        <v>EQUAL</v>
      </c>
      <c r="I97">
        <f>IF(F97=1,1,IF(F97&lt;=3,1,IF(F97&lt;=5,3,IF(F97&lt;=7,5,7))))</f>
      </c>
      <c r="J97">
        <f>IF(F97=1,1,IF(F97&lt;=3,3,IF(F97&lt;=5,5,IF(F97&lt;=7,7,9))))</f>
      </c>
      <c r="K97">
        <f>IF(F97=1,1,IF(F97&lt;=3,5,IF(F97&lt;=5,7,IF(F97&lt;=7,9,9))))</f>
      </c>
      <c r="L97" s="1">
        <f>IF(D97&gt;0,1/K97,I97)</f>
      </c>
      <c r="M97" s="1">
        <f>IF(D97&gt;0,1/J97,J97)</f>
      </c>
      <c r="N97" s="1">
        <f>IF(D97&gt;0,1/I97,K97)</f>
      </c>
    </row>
    <row r="100">
      <c r="A100" t="str">
        <v>═══ RESPONDEN 3: Fakhrul Roza ═══</v>
      </c>
    </row>
    <row r="101">
      <c r="A101" t="str">
        <v>Jabatan: KATIM Pemberdayaan UKM | Instansi: Dinas Perindustrian, Perdagangan, Koperasi, UKM Prof Riau</v>
      </c>
    </row>
    <row r="102">
      <c r="A102" t="str">
        <v>No</v>
      </c>
      <c r="B102" t="str">
        <v>Krit. A</v>
      </c>
      <c r="C102" t="str">
        <v>Krit. B</v>
      </c>
      <c r="D102" t="str">
        <v>Slider</v>
      </c>
      <c r="E102" t="str">
        <v>|Slider|</v>
      </c>
      <c r="F102" t="str">
        <v>absVal</v>
      </c>
      <c r="G102" t="str">
        <v>Arah</v>
      </c>
      <c r="H102" t="str">
        <v>Fuzzy</v>
      </c>
      <c r="I102" t="str">
        <v>l_orig</v>
      </c>
      <c r="J102" t="str">
        <v>m_orig</v>
      </c>
      <c r="K102" t="str">
        <v>u_orig</v>
      </c>
      <c r="L102" t="str">
        <v>TFN_l</v>
      </c>
      <c r="M102" t="str">
        <v>TFN_m</v>
      </c>
      <c r="N102" t="str">
        <v>TFN_u</v>
      </c>
    </row>
    <row r="103">
      <c r="A103">
        <v>1</v>
      </c>
      <c r="B103" t="str">
        <v>CP1</v>
      </c>
      <c r="C103" t="str">
        <v>CP2</v>
      </c>
      <c r="D103">
        <v>6</v>
      </c>
      <c r="E103">
        <v>6</v>
      </c>
      <c r="F103">
        <f>ABS(D103)+1</f>
      </c>
      <c r="G103" t="str">
        <v>→ CP2</v>
      </c>
      <c r="H103" t="str">
        <v>VERY_STRONG</v>
      </c>
      <c r="I103">
        <f>IF(F103=1,1,IF(F103&lt;=3,1,IF(F103&lt;=5,3,IF(F103&lt;=7,5,7))))</f>
      </c>
      <c r="J103">
        <f>IF(F103=1,1,IF(F103&lt;=3,3,IF(F103&lt;=5,5,IF(F103&lt;=7,7,9))))</f>
      </c>
      <c r="K103">
        <f>IF(F103=1,1,IF(F103&lt;=3,5,IF(F103&lt;=5,7,IF(F103&lt;=7,9,9))))</f>
      </c>
      <c r="L103" s="1">
        <f>IF(D103&gt;0,1/K103,I103)</f>
      </c>
      <c r="M103" s="1">
        <f>IF(D103&gt;0,1/J103,J103)</f>
      </c>
      <c r="N103" s="1">
        <f>IF(D103&gt;0,1/I103,K103)</f>
      </c>
    </row>
    <row r="104">
      <c r="A104">
        <v>2</v>
      </c>
      <c r="B104" t="str">
        <v>CP1</v>
      </c>
      <c r="C104" t="str">
        <v>CP3</v>
      </c>
      <c r="D104">
        <v>7</v>
      </c>
      <c r="E104">
        <v>7</v>
      </c>
      <c r="F104">
        <f>ABS(D104)+1</f>
      </c>
      <c r="G104" t="str">
        <v>→ CP3</v>
      </c>
      <c r="H104" t="str">
        <v>EXTREME</v>
      </c>
      <c r="I104">
        <f>IF(F104=1,1,IF(F104&lt;=3,1,IF(F104&lt;=5,3,IF(F104&lt;=7,5,7))))</f>
      </c>
      <c r="J104">
        <f>IF(F104=1,1,IF(F104&lt;=3,3,IF(F104&lt;=5,5,IF(F104&lt;=7,7,9))))</f>
      </c>
      <c r="K104">
        <f>IF(F104=1,1,IF(F104&lt;=3,5,IF(F104&lt;=5,7,IF(F104&lt;=7,9,9))))</f>
      </c>
      <c r="L104" s="1">
        <f>IF(D104&gt;0,1/K104,I104)</f>
      </c>
      <c r="M104" s="1">
        <f>IF(D104&gt;0,1/J104,J104)</f>
      </c>
      <c r="N104" s="1">
        <f>IF(D104&gt;0,1/I104,K104)</f>
      </c>
    </row>
    <row r="105">
      <c r="A105">
        <v>3</v>
      </c>
      <c r="B105" t="str">
        <v>CP1</v>
      </c>
      <c r="C105" t="str">
        <v>CP4</v>
      </c>
      <c r="D105">
        <v>8</v>
      </c>
      <c r="E105">
        <v>8</v>
      </c>
      <c r="F105">
        <f>ABS(D105)+1</f>
      </c>
      <c r="G105" t="str">
        <v>→ CP4</v>
      </c>
      <c r="H105" t="str">
        <v>EXTREME</v>
      </c>
      <c r="I105">
        <f>IF(F105=1,1,IF(F105&lt;=3,1,IF(F105&lt;=5,3,IF(F105&lt;=7,5,7))))</f>
      </c>
      <c r="J105">
        <f>IF(F105=1,1,IF(F105&lt;=3,3,IF(F105&lt;=5,5,IF(F105&lt;=7,7,9))))</f>
      </c>
      <c r="K105">
        <f>IF(F105=1,1,IF(F105&lt;=3,5,IF(F105&lt;=5,7,IF(F105&lt;=7,9,9))))</f>
      </c>
      <c r="L105" s="1">
        <f>IF(D105&gt;0,1/K105,I105)</f>
      </c>
      <c r="M105" s="1">
        <f>IF(D105&gt;0,1/J105,J105)</f>
      </c>
      <c r="N105" s="1">
        <f>IF(D105&gt;0,1/I105,K105)</f>
      </c>
    </row>
    <row r="106">
      <c r="A106">
        <v>4</v>
      </c>
      <c r="B106" t="str">
        <v>CP1</v>
      </c>
      <c r="C106" t="str">
        <v>CP5</v>
      </c>
      <c r="D106">
        <v>3</v>
      </c>
      <c r="E106">
        <v>3</v>
      </c>
      <c r="F106">
        <f>ABS(D106)+1</f>
      </c>
      <c r="G106" t="str">
        <v>→ CP5</v>
      </c>
      <c r="H106" t="str">
        <v>STRONG</v>
      </c>
      <c r="I106">
        <f>IF(F106=1,1,IF(F106&lt;=3,1,IF(F106&lt;=5,3,IF(F106&lt;=7,5,7))))</f>
      </c>
      <c r="J106">
        <f>IF(F106=1,1,IF(F106&lt;=3,3,IF(F106&lt;=5,5,IF(F106&lt;=7,7,9))))</f>
      </c>
      <c r="K106">
        <f>IF(F106=1,1,IF(F106&lt;=3,5,IF(F106&lt;=5,7,IF(F106&lt;=7,9,9))))</f>
      </c>
      <c r="L106" s="1">
        <f>IF(D106&gt;0,1/K106,I106)</f>
      </c>
      <c r="M106" s="1">
        <f>IF(D106&gt;0,1/J106,J106)</f>
      </c>
      <c r="N106" s="1">
        <f>IF(D106&gt;0,1/I106,K106)</f>
      </c>
    </row>
    <row r="107">
      <c r="A107">
        <v>5</v>
      </c>
      <c r="B107" t="str">
        <v>CP1</v>
      </c>
      <c r="C107" t="str">
        <v>CP6</v>
      </c>
      <c r="D107">
        <v>-5</v>
      </c>
      <c r="E107">
        <v>5</v>
      </c>
      <c r="F107">
        <f>ABS(D107)+1</f>
      </c>
      <c r="G107" t="str">
        <v>← CP1</v>
      </c>
      <c r="H107" t="str">
        <v>VERY_STRONG</v>
      </c>
      <c r="I107">
        <f>IF(F107=1,1,IF(F107&lt;=3,1,IF(F107&lt;=5,3,IF(F107&lt;=7,5,7))))</f>
      </c>
      <c r="J107">
        <f>IF(F107=1,1,IF(F107&lt;=3,3,IF(F107&lt;=5,5,IF(F107&lt;=7,7,9))))</f>
      </c>
      <c r="K107">
        <f>IF(F107=1,1,IF(F107&lt;=3,5,IF(F107&lt;=5,7,IF(F107&lt;=7,9,9))))</f>
      </c>
      <c r="L107" s="1">
        <f>IF(D107&gt;0,1/K107,I107)</f>
      </c>
      <c r="M107" s="1">
        <f>IF(D107&gt;0,1/J107,J107)</f>
      </c>
      <c r="N107" s="1">
        <f>IF(D107&gt;0,1/I107,K107)</f>
      </c>
    </row>
    <row r="108">
      <c r="A108">
        <v>6</v>
      </c>
      <c r="B108" t="str">
        <v>CP1</v>
      </c>
      <c r="C108" t="str">
        <v>CP7</v>
      </c>
      <c r="D108">
        <v>-6</v>
      </c>
      <c r="E108">
        <v>6</v>
      </c>
      <c r="F108">
        <f>ABS(D108)+1</f>
      </c>
      <c r="G108" t="str">
        <v>← CP1</v>
      </c>
      <c r="H108" t="str">
        <v>VERY_STRONG</v>
      </c>
      <c r="I108">
        <f>IF(F108=1,1,IF(F108&lt;=3,1,IF(F108&lt;=5,3,IF(F108&lt;=7,5,7))))</f>
      </c>
      <c r="J108">
        <f>IF(F108=1,1,IF(F108&lt;=3,3,IF(F108&lt;=5,5,IF(F108&lt;=7,7,9))))</f>
      </c>
      <c r="K108">
        <f>IF(F108=1,1,IF(F108&lt;=3,5,IF(F108&lt;=5,7,IF(F108&lt;=7,9,9))))</f>
      </c>
      <c r="L108" s="1">
        <f>IF(D108&gt;0,1/K108,I108)</f>
      </c>
      <c r="M108" s="1">
        <f>IF(D108&gt;0,1/J108,J108)</f>
      </c>
      <c r="N108" s="1">
        <f>IF(D108&gt;0,1/I108,K108)</f>
      </c>
    </row>
    <row r="109">
      <c r="A109">
        <v>7</v>
      </c>
      <c r="B109" t="str">
        <v>CP1</v>
      </c>
      <c r="C109" t="str">
        <v>CP8</v>
      </c>
      <c r="D109">
        <v>6</v>
      </c>
      <c r="E109">
        <v>6</v>
      </c>
      <c r="F109">
        <f>ABS(D109)+1</f>
      </c>
      <c r="G109" t="str">
        <v>→ CP8</v>
      </c>
      <c r="H109" t="str">
        <v>VERY_STRONG</v>
      </c>
      <c r="I109">
        <f>IF(F109=1,1,IF(F109&lt;=3,1,IF(F109&lt;=5,3,IF(F109&lt;=7,5,7))))</f>
      </c>
      <c r="J109">
        <f>IF(F109=1,1,IF(F109&lt;=3,3,IF(F109&lt;=5,5,IF(F109&lt;=7,7,9))))</f>
      </c>
      <c r="K109">
        <f>IF(F109=1,1,IF(F109&lt;=3,5,IF(F109&lt;=5,7,IF(F109&lt;=7,9,9))))</f>
      </c>
      <c r="L109" s="1">
        <f>IF(D109&gt;0,1/K109,I109)</f>
      </c>
      <c r="M109" s="1">
        <f>IF(D109&gt;0,1/J109,J109)</f>
      </c>
      <c r="N109" s="1">
        <f>IF(D109&gt;0,1/I109,K109)</f>
      </c>
    </row>
    <row r="110">
      <c r="A110">
        <v>8</v>
      </c>
      <c r="B110" t="str">
        <v>CP1</v>
      </c>
      <c r="C110" t="str">
        <v>CP9</v>
      </c>
      <c r="D110">
        <v>-7</v>
      </c>
      <c r="E110">
        <v>7</v>
      </c>
      <c r="F110">
        <f>ABS(D110)+1</f>
      </c>
      <c r="G110" t="str">
        <v>← CP1</v>
      </c>
      <c r="H110" t="str">
        <v>EXTREME</v>
      </c>
      <c r="I110">
        <f>IF(F110=1,1,IF(F110&lt;=3,1,IF(F110&lt;=5,3,IF(F110&lt;=7,5,7))))</f>
      </c>
      <c r="J110">
        <f>IF(F110=1,1,IF(F110&lt;=3,3,IF(F110&lt;=5,5,IF(F110&lt;=7,7,9))))</f>
      </c>
      <c r="K110">
        <f>IF(F110=1,1,IF(F110&lt;=3,5,IF(F110&lt;=5,7,IF(F110&lt;=7,9,9))))</f>
      </c>
      <c r="L110" s="1">
        <f>IF(D110&gt;0,1/K110,I110)</f>
      </c>
      <c r="M110" s="1">
        <f>IF(D110&gt;0,1/J110,J110)</f>
      </c>
      <c r="N110" s="1">
        <f>IF(D110&gt;0,1/I110,K110)</f>
      </c>
    </row>
    <row r="111">
      <c r="A111">
        <v>9</v>
      </c>
      <c r="B111" t="str">
        <v>CP2</v>
      </c>
      <c r="C111" t="str">
        <v>CP3</v>
      </c>
      <c r="D111">
        <v>-5</v>
      </c>
      <c r="E111">
        <v>5</v>
      </c>
      <c r="F111">
        <f>ABS(D111)+1</f>
      </c>
      <c r="G111" t="str">
        <v>← CP2</v>
      </c>
      <c r="H111" t="str">
        <v>VERY_STRONG</v>
      </c>
      <c r="I111">
        <f>IF(F111=1,1,IF(F111&lt;=3,1,IF(F111&lt;=5,3,IF(F111&lt;=7,5,7))))</f>
      </c>
      <c r="J111">
        <f>IF(F111=1,1,IF(F111&lt;=3,3,IF(F111&lt;=5,5,IF(F111&lt;=7,7,9))))</f>
      </c>
      <c r="K111">
        <f>IF(F111=1,1,IF(F111&lt;=3,5,IF(F111&lt;=5,7,IF(F111&lt;=7,9,9))))</f>
      </c>
      <c r="L111" s="1">
        <f>IF(D111&gt;0,1/K111,I111)</f>
      </c>
      <c r="M111" s="1">
        <f>IF(D111&gt;0,1/J111,J111)</f>
      </c>
      <c r="N111" s="1">
        <f>IF(D111&gt;0,1/I111,K111)</f>
      </c>
    </row>
    <row r="112">
      <c r="A112">
        <v>10</v>
      </c>
      <c r="B112" t="str">
        <v>CP2</v>
      </c>
      <c r="C112" t="str">
        <v>CP4</v>
      </c>
      <c r="D112">
        <v>7</v>
      </c>
      <c r="E112">
        <v>7</v>
      </c>
      <c r="F112">
        <f>ABS(D112)+1</f>
      </c>
      <c r="G112" t="str">
        <v>→ CP4</v>
      </c>
      <c r="H112" t="str">
        <v>EXTREME</v>
      </c>
      <c r="I112">
        <f>IF(F112=1,1,IF(F112&lt;=3,1,IF(F112&lt;=5,3,IF(F112&lt;=7,5,7))))</f>
      </c>
      <c r="J112">
        <f>IF(F112=1,1,IF(F112&lt;=3,3,IF(F112&lt;=5,5,IF(F112&lt;=7,7,9))))</f>
      </c>
      <c r="K112">
        <f>IF(F112=1,1,IF(F112&lt;=3,5,IF(F112&lt;=5,7,IF(F112&lt;=7,9,9))))</f>
      </c>
      <c r="L112" s="1">
        <f>IF(D112&gt;0,1/K112,I112)</f>
      </c>
      <c r="M112" s="1">
        <f>IF(D112&gt;0,1/J112,J112)</f>
      </c>
      <c r="N112" s="1">
        <f>IF(D112&gt;0,1/I112,K112)</f>
      </c>
    </row>
    <row r="113">
      <c r="A113">
        <v>11</v>
      </c>
      <c r="B113" t="str">
        <v>CP2</v>
      </c>
      <c r="C113" t="str">
        <v>CP5</v>
      </c>
      <c r="D113">
        <v>7</v>
      </c>
      <c r="E113">
        <v>7</v>
      </c>
      <c r="F113">
        <f>ABS(D113)+1</f>
      </c>
      <c r="G113" t="str">
        <v>→ CP5</v>
      </c>
      <c r="H113" t="str">
        <v>EXTREME</v>
      </c>
      <c r="I113">
        <f>IF(F113=1,1,IF(F113&lt;=3,1,IF(F113&lt;=5,3,IF(F113&lt;=7,5,7))))</f>
      </c>
      <c r="J113">
        <f>IF(F113=1,1,IF(F113&lt;=3,3,IF(F113&lt;=5,5,IF(F113&lt;=7,7,9))))</f>
      </c>
      <c r="K113">
        <f>IF(F113=1,1,IF(F113&lt;=3,5,IF(F113&lt;=5,7,IF(F113&lt;=7,9,9))))</f>
      </c>
      <c r="L113" s="1">
        <f>IF(D113&gt;0,1/K113,I113)</f>
      </c>
      <c r="M113" s="1">
        <f>IF(D113&gt;0,1/J113,J113)</f>
      </c>
      <c r="N113" s="1">
        <f>IF(D113&gt;0,1/I113,K113)</f>
      </c>
    </row>
    <row r="114">
      <c r="A114">
        <v>12</v>
      </c>
      <c r="B114" t="str">
        <v>CP2</v>
      </c>
      <c r="C114" t="str">
        <v>CP6</v>
      </c>
      <c r="D114">
        <v>-6</v>
      </c>
      <c r="E114">
        <v>6</v>
      </c>
      <c r="F114">
        <f>ABS(D114)+1</f>
      </c>
      <c r="G114" t="str">
        <v>← CP2</v>
      </c>
      <c r="H114" t="str">
        <v>VERY_STRONG</v>
      </c>
      <c r="I114">
        <f>IF(F114=1,1,IF(F114&lt;=3,1,IF(F114&lt;=5,3,IF(F114&lt;=7,5,7))))</f>
      </c>
      <c r="J114">
        <f>IF(F114=1,1,IF(F114&lt;=3,3,IF(F114&lt;=5,5,IF(F114&lt;=7,7,9))))</f>
      </c>
      <c r="K114">
        <f>IF(F114=1,1,IF(F114&lt;=3,5,IF(F114&lt;=5,7,IF(F114&lt;=7,9,9))))</f>
      </c>
      <c r="L114" s="1">
        <f>IF(D114&gt;0,1/K114,I114)</f>
      </c>
      <c r="M114" s="1">
        <f>IF(D114&gt;0,1/J114,J114)</f>
      </c>
      <c r="N114" s="1">
        <f>IF(D114&gt;0,1/I114,K114)</f>
      </c>
    </row>
    <row r="115">
      <c r="A115">
        <v>13</v>
      </c>
      <c r="B115" t="str">
        <v>CP2</v>
      </c>
      <c r="C115" t="str">
        <v>CP7</v>
      </c>
      <c r="D115">
        <v>7</v>
      </c>
      <c r="E115">
        <v>7</v>
      </c>
      <c r="F115">
        <f>ABS(D115)+1</f>
      </c>
      <c r="G115" t="str">
        <v>→ CP7</v>
      </c>
      <c r="H115" t="str">
        <v>EXTREME</v>
      </c>
      <c r="I115">
        <f>IF(F115=1,1,IF(F115&lt;=3,1,IF(F115&lt;=5,3,IF(F115&lt;=7,5,7))))</f>
      </c>
      <c r="J115">
        <f>IF(F115=1,1,IF(F115&lt;=3,3,IF(F115&lt;=5,5,IF(F115&lt;=7,7,9))))</f>
      </c>
      <c r="K115">
        <f>IF(F115=1,1,IF(F115&lt;=3,5,IF(F115&lt;=5,7,IF(F115&lt;=7,9,9))))</f>
      </c>
      <c r="L115" s="1">
        <f>IF(D115&gt;0,1/K115,I115)</f>
      </c>
      <c r="M115" s="1">
        <f>IF(D115&gt;0,1/J115,J115)</f>
      </c>
      <c r="N115" s="1">
        <f>IF(D115&gt;0,1/I115,K115)</f>
      </c>
    </row>
    <row r="116">
      <c r="A116">
        <v>14</v>
      </c>
      <c r="B116" t="str">
        <v>CP2</v>
      </c>
      <c r="C116" t="str">
        <v>CP8</v>
      </c>
      <c r="D116">
        <v>6</v>
      </c>
      <c r="E116">
        <v>6</v>
      </c>
      <c r="F116">
        <f>ABS(D116)+1</f>
      </c>
      <c r="G116" t="str">
        <v>→ CP8</v>
      </c>
      <c r="H116" t="str">
        <v>VERY_STRONG</v>
      </c>
      <c r="I116">
        <f>IF(F116=1,1,IF(F116&lt;=3,1,IF(F116&lt;=5,3,IF(F116&lt;=7,5,7))))</f>
      </c>
      <c r="J116">
        <f>IF(F116=1,1,IF(F116&lt;=3,3,IF(F116&lt;=5,5,IF(F116&lt;=7,7,9))))</f>
      </c>
      <c r="K116">
        <f>IF(F116=1,1,IF(F116&lt;=3,5,IF(F116&lt;=5,7,IF(F116&lt;=7,9,9))))</f>
      </c>
      <c r="L116" s="1">
        <f>IF(D116&gt;0,1/K116,I116)</f>
      </c>
      <c r="M116" s="1">
        <f>IF(D116&gt;0,1/J116,J116)</f>
      </c>
      <c r="N116" s="1">
        <f>IF(D116&gt;0,1/I116,K116)</f>
      </c>
    </row>
    <row r="117">
      <c r="A117">
        <v>15</v>
      </c>
      <c r="B117" t="str">
        <v>CP2</v>
      </c>
      <c r="C117" t="str">
        <v>CP9</v>
      </c>
      <c r="D117">
        <v>-5</v>
      </c>
      <c r="E117">
        <v>5</v>
      </c>
      <c r="F117">
        <f>ABS(D117)+1</f>
      </c>
      <c r="G117" t="str">
        <v>← CP2</v>
      </c>
      <c r="H117" t="str">
        <v>VERY_STRONG</v>
      </c>
      <c r="I117">
        <f>IF(F117=1,1,IF(F117&lt;=3,1,IF(F117&lt;=5,3,IF(F117&lt;=7,5,7))))</f>
      </c>
      <c r="J117">
        <f>IF(F117=1,1,IF(F117&lt;=3,3,IF(F117&lt;=5,5,IF(F117&lt;=7,7,9))))</f>
      </c>
      <c r="K117">
        <f>IF(F117=1,1,IF(F117&lt;=3,5,IF(F117&lt;=5,7,IF(F117&lt;=7,9,9))))</f>
      </c>
      <c r="L117" s="1">
        <f>IF(D117&gt;0,1/K117,I117)</f>
      </c>
      <c r="M117" s="1">
        <f>IF(D117&gt;0,1/J117,J117)</f>
      </c>
      <c r="N117" s="1">
        <f>IF(D117&gt;0,1/I117,K117)</f>
      </c>
    </row>
    <row r="118">
      <c r="A118">
        <v>16</v>
      </c>
      <c r="B118" t="str">
        <v>CP3</v>
      </c>
      <c r="C118" t="str">
        <v>CP4</v>
      </c>
      <c r="D118">
        <v>6</v>
      </c>
      <c r="E118">
        <v>6</v>
      </c>
      <c r="F118">
        <f>ABS(D118)+1</f>
      </c>
      <c r="G118" t="str">
        <v>→ CP4</v>
      </c>
      <c r="H118" t="str">
        <v>VERY_STRONG</v>
      </c>
      <c r="I118">
        <f>IF(F118=1,1,IF(F118&lt;=3,1,IF(F118&lt;=5,3,IF(F118&lt;=7,5,7))))</f>
      </c>
      <c r="J118">
        <f>IF(F118=1,1,IF(F118&lt;=3,3,IF(F118&lt;=5,5,IF(F118&lt;=7,7,9))))</f>
      </c>
      <c r="K118">
        <f>IF(F118=1,1,IF(F118&lt;=3,5,IF(F118&lt;=5,7,IF(F118&lt;=7,9,9))))</f>
      </c>
      <c r="L118" s="1">
        <f>IF(D118&gt;0,1/K118,I118)</f>
      </c>
      <c r="M118" s="1">
        <f>IF(D118&gt;0,1/J118,J118)</f>
      </c>
      <c r="N118" s="1">
        <f>IF(D118&gt;0,1/I118,K118)</f>
      </c>
    </row>
    <row r="119">
      <c r="A119">
        <v>17</v>
      </c>
      <c r="B119" t="str">
        <v>CP3</v>
      </c>
      <c r="C119" t="str">
        <v>CP5</v>
      </c>
      <c r="D119">
        <v>6</v>
      </c>
      <c r="E119">
        <v>6</v>
      </c>
      <c r="F119">
        <f>ABS(D119)+1</f>
      </c>
      <c r="G119" t="str">
        <v>→ CP5</v>
      </c>
      <c r="H119" t="str">
        <v>VERY_STRONG</v>
      </c>
      <c r="I119">
        <f>IF(F119=1,1,IF(F119&lt;=3,1,IF(F119&lt;=5,3,IF(F119&lt;=7,5,7))))</f>
      </c>
      <c r="J119">
        <f>IF(F119=1,1,IF(F119&lt;=3,3,IF(F119&lt;=5,5,IF(F119&lt;=7,7,9))))</f>
      </c>
      <c r="K119">
        <f>IF(F119=1,1,IF(F119&lt;=3,5,IF(F119&lt;=5,7,IF(F119&lt;=7,9,9))))</f>
      </c>
      <c r="L119" s="1">
        <f>IF(D119&gt;0,1/K119,I119)</f>
      </c>
      <c r="M119" s="1">
        <f>IF(D119&gt;0,1/J119,J119)</f>
      </c>
      <c r="N119" s="1">
        <f>IF(D119&gt;0,1/I119,K119)</f>
      </c>
    </row>
    <row r="120">
      <c r="A120">
        <v>18</v>
      </c>
      <c r="B120" t="str">
        <v>CP3</v>
      </c>
      <c r="C120" t="str">
        <v>CP6</v>
      </c>
      <c r="D120">
        <v>-7</v>
      </c>
      <c r="E120">
        <v>7</v>
      </c>
      <c r="F120">
        <f>ABS(D120)+1</f>
      </c>
      <c r="G120" t="str">
        <v>← CP3</v>
      </c>
      <c r="H120" t="str">
        <v>EXTREME</v>
      </c>
      <c r="I120">
        <f>IF(F120=1,1,IF(F120&lt;=3,1,IF(F120&lt;=5,3,IF(F120&lt;=7,5,7))))</f>
      </c>
      <c r="J120">
        <f>IF(F120=1,1,IF(F120&lt;=3,3,IF(F120&lt;=5,5,IF(F120&lt;=7,7,9))))</f>
      </c>
      <c r="K120">
        <f>IF(F120=1,1,IF(F120&lt;=3,5,IF(F120&lt;=5,7,IF(F120&lt;=7,9,9))))</f>
      </c>
      <c r="L120" s="1">
        <f>IF(D120&gt;0,1/K120,I120)</f>
      </c>
      <c r="M120" s="1">
        <f>IF(D120&gt;0,1/J120,J120)</f>
      </c>
      <c r="N120" s="1">
        <f>IF(D120&gt;0,1/I120,K120)</f>
      </c>
    </row>
    <row r="121">
      <c r="A121">
        <v>19</v>
      </c>
      <c r="B121" t="str">
        <v>CP3</v>
      </c>
      <c r="C121" t="str">
        <v>CP7</v>
      </c>
      <c r="D121">
        <v>5</v>
      </c>
      <c r="E121">
        <v>5</v>
      </c>
      <c r="F121">
        <f>ABS(D121)+1</f>
      </c>
      <c r="G121" t="str">
        <v>→ CP7</v>
      </c>
      <c r="H121" t="str">
        <v>VERY_STRONG</v>
      </c>
      <c r="I121">
        <f>IF(F121=1,1,IF(F121&lt;=3,1,IF(F121&lt;=5,3,IF(F121&lt;=7,5,7))))</f>
      </c>
      <c r="J121">
        <f>IF(F121=1,1,IF(F121&lt;=3,3,IF(F121&lt;=5,5,IF(F121&lt;=7,7,9))))</f>
      </c>
      <c r="K121">
        <f>IF(F121=1,1,IF(F121&lt;=3,5,IF(F121&lt;=5,7,IF(F121&lt;=7,9,9))))</f>
      </c>
      <c r="L121" s="1">
        <f>IF(D121&gt;0,1/K121,I121)</f>
      </c>
      <c r="M121" s="1">
        <f>IF(D121&gt;0,1/J121,J121)</f>
      </c>
      <c r="N121" s="1">
        <f>IF(D121&gt;0,1/I121,K121)</f>
      </c>
    </row>
    <row r="122">
      <c r="A122">
        <v>20</v>
      </c>
      <c r="B122" t="str">
        <v>CP3</v>
      </c>
      <c r="C122" t="str">
        <v>CP8</v>
      </c>
      <c r="D122">
        <v>-2</v>
      </c>
      <c r="E122">
        <v>2</v>
      </c>
      <c r="F122">
        <f>ABS(D122)+1</f>
      </c>
      <c r="G122" t="str">
        <v>← CP3</v>
      </c>
      <c r="H122" t="str">
        <v>MODERATE</v>
      </c>
      <c r="I122">
        <f>IF(F122=1,1,IF(F122&lt;=3,1,IF(F122&lt;=5,3,IF(F122&lt;=7,5,7))))</f>
      </c>
      <c r="J122">
        <f>IF(F122=1,1,IF(F122&lt;=3,3,IF(F122&lt;=5,5,IF(F122&lt;=7,7,9))))</f>
      </c>
      <c r="K122">
        <f>IF(F122=1,1,IF(F122&lt;=3,5,IF(F122&lt;=5,7,IF(F122&lt;=7,9,9))))</f>
      </c>
      <c r="L122" s="1">
        <f>IF(D122&gt;0,1/K122,I122)</f>
      </c>
      <c r="M122" s="1">
        <f>IF(D122&gt;0,1/J122,J122)</f>
      </c>
      <c r="N122" s="1">
        <f>IF(D122&gt;0,1/I122,K122)</f>
      </c>
    </row>
    <row r="123">
      <c r="A123">
        <v>21</v>
      </c>
      <c r="B123" t="str">
        <v>CP3</v>
      </c>
      <c r="C123" t="str">
        <v>CP9</v>
      </c>
      <c r="D123">
        <v>-2</v>
      </c>
      <c r="E123">
        <v>2</v>
      </c>
      <c r="F123">
        <f>ABS(D123)+1</f>
      </c>
      <c r="G123" t="str">
        <v>← CP3</v>
      </c>
      <c r="H123" t="str">
        <v>MODERATE</v>
      </c>
      <c r="I123">
        <f>IF(F123=1,1,IF(F123&lt;=3,1,IF(F123&lt;=5,3,IF(F123&lt;=7,5,7))))</f>
      </c>
      <c r="J123">
        <f>IF(F123=1,1,IF(F123&lt;=3,3,IF(F123&lt;=5,5,IF(F123&lt;=7,7,9))))</f>
      </c>
      <c r="K123">
        <f>IF(F123=1,1,IF(F123&lt;=3,5,IF(F123&lt;=5,7,IF(F123&lt;=7,9,9))))</f>
      </c>
      <c r="L123" s="1">
        <f>IF(D123&gt;0,1/K123,I123)</f>
      </c>
      <c r="M123" s="1">
        <f>IF(D123&gt;0,1/J123,J123)</f>
      </c>
      <c r="N123" s="1">
        <f>IF(D123&gt;0,1/I123,K123)</f>
      </c>
    </row>
    <row r="124">
      <c r="A124">
        <v>22</v>
      </c>
      <c r="B124" t="str">
        <v>CP4</v>
      </c>
      <c r="C124" t="str">
        <v>CP5</v>
      </c>
      <c r="D124">
        <v>-6</v>
      </c>
      <c r="E124">
        <v>6</v>
      </c>
      <c r="F124">
        <f>ABS(D124)+1</f>
      </c>
      <c r="G124" t="str">
        <v>← CP4</v>
      </c>
      <c r="H124" t="str">
        <v>VERY_STRONG</v>
      </c>
      <c r="I124">
        <f>IF(F124=1,1,IF(F124&lt;=3,1,IF(F124&lt;=5,3,IF(F124&lt;=7,5,7))))</f>
      </c>
      <c r="J124">
        <f>IF(F124=1,1,IF(F124&lt;=3,3,IF(F124&lt;=5,5,IF(F124&lt;=7,7,9))))</f>
      </c>
      <c r="K124">
        <f>IF(F124=1,1,IF(F124&lt;=3,5,IF(F124&lt;=5,7,IF(F124&lt;=7,9,9))))</f>
      </c>
      <c r="L124" s="1">
        <f>IF(D124&gt;0,1/K124,I124)</f>
      </c>
      <c r="M124" s="1">
        <f>IF(D124&gt;0,1/J124,J124)</f>
      </c>
      <c r="N124" s="1">
        <f>IF(D124&gt;0,1/I124,K124)</f>
      </c>
    </row>
    <row r="125">
      <c r="A125">
        <v>23</v>
      </c>
      <c r="B125" t="str">
        <v>CP4</v>
      </c>
      <c r="C125" t="str">
        <v>CP6</v>
      </c>
      <c r="D125">
        <v>-6</v>
      </c>
      <c r="E125">
        <v>6</v>
      </c>
      <c r="F125">
        <f>ABS(D125)+1</f>
      </c>
      <c r="G125" t="str">
        <v>← CP4</v>
      </c>
      <c r="H125" t="str">
        <v>VERY_STRONG</v>
      </c>
      <c r="I125">
        <f>IF(F125=1,1,IF(F125&lt;=3,1,IF(F125&lt;=5,3,IF(F125&lt;=7,5,7))))</f>
      </c>
      <c r="J125">
        <f>IF(F125=1,1,IF(F125&lt;=3,3,IF(F125&lt;=5,5,IF(F125&lt;=7,7,9))))</f>
      </c>
      <c r="K125">
        <f>IF(F125=1,1,IF(F125&lt;=3,5,IF(F125&lt;=5,7,IF(F125&lt;=7,9,9))))</f>
      </c>
      <c r="L125" s="1">
        <f>IF(D125&gt;0,1/K125,I125)</f>
      </c>
      <c r="M125" s="1">
        <f>IF(D125&gt;0,1/J125,J125)</f>
      </c>
      <c r="N125" s="1">
        <f>IF(D125&gt;0,1/I125,K125)</f>
      </c>
    </row>
    <row r="126">
      <c r="A126">
        <v>24</v>
      </c>
      <c r="B126" t="str">
        <v>CP4</v>
      </c>
      <c r="C126" t="str">
        <v>CP7</v>
      </c>
      <c r="D126">
        <v>-6</v>
      </c>
      <c r="E126">
        <v>6</v>
      </c>
      <c r="F126">
        <f>ABS(D126)+1</f>
      </c>
      <c r="G126" t="str">
        <v>← CP4</v>
      </c>
      <c r="H126" t="str">
        <v>VERY_STRONG</v>
      </c>
      <c r="I126">
        <f>IF(F126=1,1,IF(F126&lt;=3,1,IF(F126&lt;=5,3,IF(F126&lt;=7,5,7))))</f>
      </c>
      <c r="J126">
        <f>IF(F126=1,1,IF(F126&lt;=3,3,IF(F126&lt;=5,5,IF(F126&lt;=7,7,9))))</f>
      </c>
      <c r="K126">
        <f>IF(F126=1,1,IF(F126&lt;=3,5,IF(F126&lt;=5,7,IF(F126&lt;=7,9,9))))</f>
      </c>
      <c r="L126" s="1">
        <f>IF(D126&gt;0,1/K126,I126)</f>
      </c>
      <c r="M126" s="1">
        <f>IF(D126&gt;0,1/J126,J126)</f>
      </c>
      <c r="N126" s="1">
        <f>IF(D126&gt;0,1/I126,K126)</f>
      </c>
    </row>
    <row r="127">
      <c r="A127">
        <v>25</v>
      </c>
      <c r="B127" t="str">
        <v>CP4</v>
      </c>
      <c r="C127" t="str">
        <v>CP8</v>
      </c>
      <c r="D127">
        <v>-4</v>
      </c>
      <c r="E127">
        <v>4</v>
      </c>
      <c r="F127">
        <f>ABS(D127)+1</f>
      </c>
      <c r="G127" t="str">
        <v>← CP4</v>
      </c>
      <c r="H127" t="str">
        <v>STRONG</v>
      </c>
      <c r="I127">
        <f>IF(F127=1,1,IF(F127&lt;=3,1,IF(F127&lt;=5,3,IF(F127&lt;=7,5,7))))</f>
      </c>
      <c r="J127">
        <f>IF(F127=1,1,IF(F127&lt;=3,3,IF(F127&lt;=5,5,IF(F127&lt;=7,7,9))))</f>
      </c>
      <c r="K127">
        <f>IF(F127=1,1,IF(F127&lt;=3,5,IF(F127&lt;=5,7,IF(F127&lt;=7,9,9))))</f>
      </c>
      <c r="L127" s="1">
        <f>IF(D127&gt;0,1/K127,I127)</f>
      </c>
      <c r="M127" s="1">
        <f>IF(D127&gt;0,1/J127,J127)</f>
      </c>
      <c r="N127" s="1">
        <f>IF(D127&gt;0,1/I127,K127)</f>
      </c>
    </row>
    <row r="128">
      <c r="A128">
        <v>26</v>
      </c>
      <c r="B128" t="str">
        <v>CP4</v>
      </c>
      <c r="C128" t="str">
        <v>CP9</v>
      </c>
      <c r="D128">
        <v>-7</v>
      </c>
      <c r="E128">
        <v>7</v>
      </c>
      <c r="F128">
        <f>ABS(D128)+1</f>
      </c>
      <c r="G128" t="str">
        <v>← CP4</v>
      </c>
      <c r="H128" t="str">
        <v>EXTREME</v>
      </c>
      <c r="I128">
        <f>IF(F128=1,1,IF(F128&lt;=3,1,IF(F128&lt;=5,3,IF(F128&lt;=7,5,7))))</f>
      </c>
      <c r="J128">
        <f>IF(F128=1,1,IF(F128&lt;=3,3,IF(F128&lt;=5,5,IF(F128&lt;=7,7,9))))</f>
      </c>
      <c r="K128">
        <f>IF(F128=1,1,IF(F128&lt;=3,5,IF(F128&lt;=5,7,IF(F128&lt;=7,9,9))))</f>
      </c>
      <c r="L128" s="1">
        <f>IF(D128&gt;0,1/K128,I128)</f>
      </c>
      <c r="M128" s="1">
        <f>IF(D128&gt;0,1/J128,J128)</f>
      </c>
      <c r="N128" s="1">
        <f>IF(D128&gt;0,1/I128,K128)</f>
      </c>
    </row>
    <row r="129">
      <c r="A129">
        <v>27</v>
      </c>
      <c r="B129" t="str">
        <v>CP5</v>
      </c>
      <c r="C129" t="str">
        <v>CP6</v>
      </c>
      <c r="D129">
        <v>-5</v>
      </c>
      <c r="E129">
        <v>5</v>
      </c>
      <c r="F129">
        <f>ABS(D129)+1</f>
      </c>
      <c r="G129" t="str">
        <v>← CP5</v>
      </c>
      <c r="H129" t="str">
        <v>VERY_STRONG</v>
      </c>
      <c r="I129">
        <f>IF(F129=1,1,IF(F129&lt;=3,1,IF(F129&lt;=5,3,IF(F129&lt;=7,5,7))))</f>
      </c>
      <c r="J129">
        <f>IF(F129=1,1,IF(F129&lt;=3,3,IF(F129&lt;=5,5,IF(F129&lt;=7,7,9))))</f>
      </c>
      <c r="K129">
        <f>IF(F129=1,1,IF(F129&lt;=3,5,IF(F129&lt;=5,7,IF(F129&lt;=7,9,9))))</f>
      </c>
      <c r="L129" s="1">
        <f>IF(D129&gt;0,1/K129,I129)</f>
      </c>
      <c r="M129" s="1">
        <f>IF(D129&gt;0,1/J129,J129)</f>
      </c>
      <c r="N129" s="1">
        <f>IF(D129&gt;0,1/I129,K129)</f>
      </c>
    </row>
    <row r="130">
      <c r="A130">
        <v>28</v>
      </c>
      <c r="B130" t="str">
        <v>CP5</v>
      </c>
      <c r="C130" t="str">
        <v>CP7</v>
      </c>
      <c r="D130">
        <v>-4</v>
      </c>
      <c r="E130">
        <v>4</v>
      </c>
      <c r="F130">
        <f>ABS(D130)+1</f>
      </c>
      <c r="G130" t="str">
        <v>← CP5</v>
      </c>
      <c r="H130" t="str">
        <v>STRONG</v>
      </c>
      <c r="I130">
        <f>IF(F130=1,1,IF(F130&lt;=3,1,IF(F130&lt;=5,3,IF(F130&lt;=7,5,7))))</f>
      </c>
      <c r="J130">
        <f>IF(F130=1,1,IF(F130&lt;=3,3,IF(F130&lt;=5,5,IF(F130&lt;=7,7,9))))</f>
      </c>
      <c r="K130">
        <f>IF(F130=1,1,IF(F130&lt;=3,5,IF(F130&lt;=5,7,IF(F130&lt;=7,9,9))))</f>
      </c>
      <c r="L130" s="1">
        <f>IF(D130&gt;0,1/K130,I130)</f>
      </c>
      <c r="M130" s="1">
        <f>IF(D130&gt;0,1/J130,J130)</f>
      </c>
      <c r="N130" s="1">
        <f>IF(D130&gt;0,1/I130,K130)</f>
      </c>
    </row>
    <row r="131">
      <c r="A131">
        <v>29</v>
      </c>
      <c r="B131" t="str">
        <v>CP5</v>
      </c>
      <c r="C131" t="str">
        <v>CP8</v>
      </c>
      <c r="D131">
        <v>-5</v>
      </c>
      <c r="E131">
        <v>5</v>
      </c>
      <c r="F131">
        <f>ABS(D131)+1</f>
      </c>
      <c r="G131" t="str">
        <v>← CP5</v>
      </c>
      <c r="H131" t="str">
        <v>VERY_STRONG</v>
      </c>
      <c r="I131">
        <f>IF(F131=1,1,IF(F131&lt;=3,1,IF(F131&lt;=5,3,IF(F131&lt;=7,5,7))))</f>
      </c>
      <c r="J131">
        <f>IF(F131=1,1,IF(F131&lt;=3,3,IF(F131&lt;=5,5,IF(F131&lt;=7,7,9))))</f>
      </c>
      <c r="K131">
        <f>IF(F131=1,1,IF(F131&lt;=3,5,IF(F131&lt;=5,7,IF(F131&lt;=7,9,9))))</f>
      </c>
      <c r="L131" s="1">
        <f>IF(D131&gt;0,1/K131,I131)</f>
      </c>
      <c r="M131" s="1">
        <f>IF(D131&gt;0,1/J131,J131)</f>
      </c>
      <c r="N131" s="1">
        <f>IF(D131&gt;0,1/I131,K131)</f>
      </c>
    </row>
    <row r="132">
      <c r="A132">
        <v>30</v>
      </c>
      <c r="B132" t="str">
        <v>CP5</v>
      </c>
      <c r="C132" t="str">
        <v>CP9</v>
      </c>
      <c r="D132">
        <v>-4</v>
      </c>
      <c r="E132">
        <v>4</v>
      </c>
      <c r="F132">
        <f>ABS(D132)+1</f>
      </c>
      <c r="G132" t="str">
        <v>← CP5</v>
      </c>
      <c r="H132" t="str">
        <v>STRONG</v>
      </c>
      <c r="I132">
        <f>IF(F132=1,1,IF(F132&lt;=3,1,IF(F132&lt;=5,3,IF(F132&lt;=7,5,7))))</f>
      </c>
      <c r="J132">
        <f>IF(F132=1,1,IF(F132&lt;=3,3,IF(F132&lt;=5,5,IF(F132&lt;=7,7,9))))</f>
      </c>
      <c r="K132">
        <f>IF(F132=1,1,IF(F132&lt;=3,5,IF(F132&lt;=5,7,IF(F132&lt;=7,9,9))))</f>
      </c>
      <c r="L132" s="1">
        <f>IF(D132&gt;0,1/K132,I132)</f>
      </c>
      <c r="M132" s="1">
        <f>IF(D132&gt;0,1/J132,J132)</f>
      </c>
      <c r="N132" s="1">
        <f>IF(D132&gt;0,1/I132,K132)</f>
      </c>
    </row>
    <row r="133">
      <c r="A133">
        <v>31</v>
      </c>
      <c r="B133" t="str">
        <v>CP6</v>
      </c>
      <c r="C133" t="str">
        <v>CP7</v>
      </c>
      <c r="D133">
        <v>4</v>
      </c>
      <c r="E133">
        <v>4</v>
      </c>
      <c r="F133">
        <f>ABS(D133)+1</f>
      </c>
      <c r="G133" t="str">
        <v>→ CP7</v>
      </c>
      <c r="H133" t="str">
        <v>STRONG</v>
      </c>
      <c r="I133">
        <f>IF(F133=1,1,IF(F133&lt;=3,1,IF(F133&lt;=5,3,IF(F133&lt;=7,5,7))))</f>
      </c>
      <c r="J133">
        <f>IF(F133=1,1,IF(F133&lt;=3,3,IF(F133&lt;=5,5,IF(F133&lt;=7,7,9))))</f>
      </c>
      <c r="K133">
        <f>IF(F133=1,1,IF(F133&lt;=3,5,IF(F133&lt;=5,7,IF(F133&lt;=7,9,9))))</f>
      </c>
      <c r="L133" s="1">
        <f>IF(D133&gt;0,1/K133,I133)</f>
      </c>
      <c r="M133" s="1">
        <f>IF(D133&gt;0,1/J133,J133)</f>
      </c>
      <c r="N133" s="1">
        <f>IF(D133&gt;0,1/I133,K133)</f>
      </c>
    </row>
    <row r="134">
      <c r="A134">
        <v>32</v>
      </c>
      <c r="B134" t="str">
        <v>CP6</v>
      </c>
      <c r="C134" t="str">
        <v>CP8</v>
      </c>
      <c r="D134">
        <v>-4</v>
      </c>
      <c r="E134">
        <v>4</v>
      </c>
      <c r="F134">
        <f>ABS(D134)+1</f>
      </c>
      <c r="G134" t="str">
        <v>← CP6</v>
      </c>
      <c r="H134" t="str">
        <v>STRONG</v>
      </c>
      <c r="I134">
        <f>IF(F134=1,1,IF(F134&lt;=3,1,IF(F134&lt;=5,3,IF(F134&lt;=7,5,7))))</f>
      </c>
      <c r="J134">
        <f>IF(F134=1,1,IF(F134&lt;=3,3,IF(F134&lt;=5,5,IF(F134&lt;=7,7,9))))</f>
      </c>
      <c r="K134">
        <f>IF(F134=1,1,IF(F134&lt;=3,5,IF(F134&lt;=5,7,IF(F134&lt;=7,9,9))))</f>
      </c>
      <c r="L134" s="1">
        <f>IF(D134&gt;0,1/K134,I134)</f>
      </c>
      <c r="M134" s="1">
        <f>IF(D134&gt;0,1/J134,J134)</f>
      </c>
      <c r="N134" s="1">
        <f>IF(D134&gt;0,1/I134,K134)</f>
      </c>
    </row>
    <row r="135">
      <c r="A135">
        <v>33</v>
      </c>
      <c r="B135" t="str">
        <v>CP6</v>
      </c>
      <c r="C135" t="str">
        <v>CP9</v>
      </c>
      <c r="D135">
        <v>-4</v>
      </c>
      <c r="E135">
        <v>4</v>
      </c>
      <c r="F135">
        <f>ABS(D135)+1</f>
      </c>
      <c r="G135" t="str">
        <v>← CP6</v>
      </c>
      <c r="H135" t="str">
        <v>STRONG</v>
      </c>
      <c r="I135">
        <f>IF(F135=1,1,IF(F135&lt;=3,1,IF(F135&lt;=5,3,IF(F135&lt;=7,5,7))))</f>
      </c>
      <c r="J135">
        <f>IF(F135=1,1,IF(F135&lt;=3,3,IF(F135&lt;=5,5,IF(F135&lt;=7,7,9))))</f>
      </c>
      <c r="K135">
        <f>IF(F135=1,1,IF(F135&lt;=3,5,IF(F135&lt;=5,7,IF(F135&lt;=7,9,9))))</f>
      </c>
      <c r="L135" s="1">
        <f>IF(D135&gt;0,1/K135,I135)</f>
      </c>
      <c r="M135" s="1">
        <f>IF(D135&gt;0,1/J135,J135)</f>
      </c>
      <c r="N135" s="1">
        <f>IF(D135&gt;0,1/I135,K135)</f>
      </c>
    </row>
    <row r="136">
      <c r="A136">
        <v>34</v>
      </c>
      <c r="B136" t="str">
        <v>CP7</v>
      </c>
      <c r="C136" t="str">
        <v>CP8</v>
      </c>
      <c r="D136">
        <v>-4</v>
      </c>
      <c r="E136">
        <v>4</v>
      </c>
      <c r="F136">
        <f>ABS(D136)+1</f>
      </c>
      <c r="G136" t="str">
        <v>← CP7</v>
      </c>
      <c r="H136" t="str">
        <v>STRONG</v>
      </c>
      <c r="I136">
        <f>IF(F136=1,1,IF(F136&lt;=3,1,IF(F136&lt;=5,3,IF(F136&lt;=7,5,7))))</f>
      </c>
      <c r="J136">
        <f>IF(F136=1,1,IF(F136&lt;=3,3,IF(F136&lt;=5,5,IF(F136&lt;=7,7,9))))</f>
      </c>
      <c r="K136">
        <f>IF(F136=1,1,IF(F136&lt;=3,5,IF(F136&lt;=5,7,IF(F136&lt;=7,9,9))))</f>
      </c>
      <c r="L136" s="1">
        <f>IF(D136&gt;0,1/K136,I136)</f>
      </c>
      <c r="M136" s="1">
        <f>IF(D136&gt;0,1/J136,J136)</f>
      </c>
      <c r="N136" s="1">
        <f>IF(D136&gt;0,1/I136,K136)</f>
      </c>
    </row>
    <row r="137">
      <c r="A137">
        <v>35</v>
      </c>
      <c r="B137" t="str">
        <v>CP7</v>
      </c>
      <c r="C137" t="str">
        <v>CP9</v>
      </c>
      <c r="D137">
        <v>-6</v>
      </c>
      <c r="E137">
        <v>6</v>
      </c>
      <c r="F137">
        <f>ABS(D137)+1</f>
      </c>
      <c r="G137" t="str">
        <v>← CP7</v>
      </c>
      <c r="H137" t="str">
        <v>VERY_STRONG</v>
      </c>
      <c r="I137">
        <f>IF(F137=1,1,IF(F137&lt;=3,1,IF(F137&lt;=5,3,IF(F137&lt;=7,5,7))))</f>
      </c>
      <c r="J137">
        <f>IF(F137=1,1,IF(F137&lt;=3,3,IF(F137&lt;=5,5,IF(F137&lt;=7,7,9))))</f>
      </c>
      <c r="K137">
        <f>IF(F137=1,1,IF(F137&lt;=3,5,IF(F137&lt;=5,7,IF(F137&lt;=7,9,9))))</f>
      </c>
      <c r="L137" s="1">
        <f>IF(D137&gt;0,1/K137,I137)</f>
      </c>
      <c r="M137" s="1">
        <f>IF(D137&gt;0,1/J137,J137)</f>
      </c>
      <c r="N137" s="1">
        <f>IF(D137&gt;0,1/I137,K137)</f>
      </c>
    </row>
    <row r="138">
      <c r="A138">
        <v>36</v>
      </c>
      <c r="B138" t="str">
        <v>CP8</v>
      </c>
      <c r="C138" t="str">
        <v>CP9</v>
      </c>
      <c r="D138">
        <v>-5</v>
      </c>
      <c r="E138">
        <v>5</v>
      </c>
      <c r="F138">
        <f>ABS(D138)+1</f>
      </c>
      <c r="G138" t="str">
        <v>← CP8</v>
      </c>
      <c r="H138" t="str">
        <v>VERY_STRONG</v>
      </c>
      <c r="I138">
        <f>IF(F138=1,1,IF(F138&lt;=3,1,IF(F138&lt;=5,3,IF(F138&lt;=7,5,7))))</f>
      </c>
      <c r="J138">
        <f>IF(F138=1,1,IF(F138&lt;=3,3,IF(F138&lt;=5,5,IF(F138&lt;=7,7,9))))</f>
      </c>
      <c r="K138">
        <f>IF(F138=1,1,IF(F138&lt;=3,5,IF(F138&lt;=5,7,IF(F138&lt;=7,9,9))))</f>
      </c>
      <c r="L138" s="1">
        <f>IF(D138&gt;0,1/K138,I138)</f>
      </c>
      <c r="M138" s="1">
        <f>IF(D138&gt;0,1/J138,J138)</f>
      </c>
      <c r="N138" s="1">
        <f>IF(D138&gt;0,1/I138,K138)</f>
      </c>
    </row>
    <row r="141">
      <c r="A141" t="str">
        <v>═══ RESPONDEN 4: Mahyarni ═══</v>
      </c>
    </row>
    <row r="142">
      <c r="A142" t="str">
        <v>Jabatan: Dosen | Instansi: UIN Suska Riau</v>
      </c>
    </row>
    <row r="143">
      <c r="A143" t="str">
        <v>No</v>
      </c>
      <c r="B143" t="str">
        <v>Krit. A</v>
      </c>
      <c r="C143" t="str">
        <v>Krit. B</v>
      </c>
      <c r="D143" t="str">
        <v>Slider</v>
      </c>
      <c r="E143" t="str">
        <v>|Slider|</v>
      </c>
      <c r="F143" t="str">
        <v>absVal</v>
      </c>
      <c r="G143" t="str">
        <v>Arah</v>
      </c>
      <c r="H143" t="str">
        <v>Fuzzy</v>
      </c>
      <c r="I143" t="str">
        <v>l_orig</v>
      </c>
      <c r="J143" t="str">
        <v>m_orig</v>
      </c>
      <c r="K143" t="str">
        <v>u_orig</v>
      </c>
      <c r="L143" t="str">
        <v>TFN_l</v>
      </c>
      <c r="M143" t="str">
        <v>TFN_m</v>
      </c>
      <c r="N143" t="str">
        <v>TFN_u</v>
      </c>
    </row>
    <row r="144">
      <c r="A144">
        <v>1</v>
      </c>
      <c r="B144" t="str">
        <v>CP1</v>
      </c>
      <c r="C144" t="str">
        <v>CP2</v>
      </c>
      <c r="D144">
        <v>6</v>
      </c>
      <c r="E144">
        <v>6</v>
      </c>
      <c r="F144">
        <f>ABS(D144)+1</f>
      </c>
      <c r="G144" t="str">
        <v>→ CP2</v>
      </c>
      <c r="H144" t="str">
        <v>VERY_STRONG</v>
      </c>
      <c r="I144">
        <f>IF(F144=1,1,IF(F144&lt;=3,1,IF(F144&lt;=5,3,IF(F144&lt;=7,5,7))))</f>
      </c>
      <c r="J144">
        <f>IF(F144=1,1,IF(F144&lt;=3,3,IF(F144&lt;=5,5,IF(F144&lt;=7,7,9))))</f>
      </c>
      <c r="K144">
        <f>IF(F144=1,1,IF(F144&lt;=3,5,IF(F144&lt;=5,7,IF(F144&lt;=7,9,9))))</f>
      </c>
      <c r="L144" s="1">
        <f>IF(D144&gt;0,1/K144,I144)</f>
      </c>
      <c r="M144" s="1">
        <f>IF(D144&gt;0,1/J144,J144)</f>
      </c>
      <c r="N144" s="1">
        <f>IF(D144&gt;0,1/I144,K144)</f>
      </c>
    </row>
    <row r="145">
      <c r="A145">
        <v>2</v>
      </c>
      <c r="B145" t="str">
        <v>CP1</v>
      </c>
      <c r="C145" t="str">
        <v>CP3</v>
      </c>
      <c r="D145">
        <v>3</v>
      </c>
      <c r="E145">
        <v>3</v>
      </c>
      <c r="F145">
        <f>ABS(D145)+1</f>
      </c>
      <c r="G145" t="str">
        <v>→ CP3</v>
      </c>
      <c r="H145" t="str">
        <v>STRONG</v>
      </c>
      <c r="I145">
        <f>IF(F145=1,1,IF(F145&lt;=3,1,IF(F145&lt;=5,3,IF(F145&lt;=7,5,7))))</f>
      </c>
      <c r="J145">
        <f>IF(F145=1,1,IF(F145&lt;=3,3,IF(F145&lt;=5,5,IF(F145&lt;=7,7,9))))</f>
      </c>
      <c r="K145">
        <f>IF(F145=1,1,IF(F145&lt;=3,5,IF(F145&lt;=5,7,IF(F145&lt;=7,9,9))))</f>
      </c>
      <c r="L145" s="1">
        <f>IF(D145&gt;0,1/K145,I145)</f>
      </c>
      <c r="M145" s="1">
        <f>IF(D145&gt;0,1/J145,J145)</f>
      </c>
      <c r="N145" s="1">
        <f>IF(D145&gt;0,1/I145,K145)</f>
      </c>
    </row>
    <row r="146">
      <c r="A146">
        <v>3</v>
      </c>
      <c r="B146" t="str">
        <v>CP1</v>
      </c>
      <c r="C146" t="str">
        <v>CP4</v>
      </c>
      <c r="D146">
        <v>3</v>
      </c>
      <c r="E146">
        <v>3</v>
      </c>
      <c r="F146">
        <f>ABS(D146)+1</f>
      </c>
      <c r="G146" t="str">
        <v>→ CP4</v>
      </c>
      <c r="H146" t="str">
        <v>STRONG</v>
      </c>
      <c r="I146">
        <f>IF(F146=1,1,IF(F146&lt;=3,1,IF(F146&lt;=5,3,IF(F146&lt;=7,5,7))))</f>
      </c>
      <c r="J146">
        <f>IF(F146=1,1,IF(F146&lt;=3,3,IF(F146&lt;=5,5,IF(F146&lt;=7,7,9))))</f>
      </c>
      <c r="K146">
        <f>IF(F146=1,1,IF(F146&lt;=3,5,IF(F146&lt;=5,7,IF(F146&lt;=7,9,9))))</f>
      </c>
      <c r="L146" s="1">
        <f>IF(D146&gt;0,1/K146,I146)</f>
      </c>
      <c r="M146" s="1">
        <f>IF(D146&gt;0,1/J146,J146)</f>
      </c>
      <c r="N146" s="1">
        <f>IF(D146&gt;0,1/I146,K146)</f>
      </c>
    </row>
    <row r="147">
      <c r="A147">
        <v>4</v>
      </c>
      <c r="B147" t="str">
        <v>CP1</v>
      </c>
      <c r="C147" t="str">
        <v>CP5</v>
      </c>
      <c r="D147">
        <v>2</v>
      </c>
      <c r="E147">
        <v>2</v>
      </c>
      <c r="F147">
        <f>ABS(D147)+1</f>
      </c>
      <c r="G147" t="str">
        <v>→ CP5</v>
      </c>
      <c r="H147" t="str">
        <v>MODERATE</v>
      </c>
      <c r="I147">
        <f>IF(F147=1,1,IF(F147&lt;=3,1,IF(F147&lt;=5,3,IF(F147&lt;=7,5,7))))</f>
      </c>
      <c r="J147">
        <f>IF(F147=1,1,IF(F147&lt;=3,3,IF(F147&lt;=5,5,IF(F147&lt;=7,7,9))))</f>
      </c>
      <c r="K147">
        <f>IF(F147=1,1,IF(F147&lt;=3,5,IF(F147&lt;=5,7,IF(F147&lt;=7,9,9))))</f>
      </c>
      <c r="L147" s="1">
        <f>IF(D147&gt;0,1/K147,I147)</f>
      </c>
      <c r="M147" s="1">
        <f>IF(D147&gt;0,1/J147,J147)</f>
      </c>
      <c r="N147" s="1">
        <f>IF(D147&gt;0,1/I147,K147)</f>
      </c>
    </row>
    <row r="148">
      <c r="A148">
        <v>5</v>
      </c>
      <c r="B148" t="str">
        <v>CP1</v>
      </c>
      <c r="C148" t="str">
        <v>CP6</v>
      </c>
      <c r="D148">
        <v>7</v>
      </c>
      <c r="E148">
        <v>7</v>
      </c>
      <c r="F148">
        <f>ABS(D148)+1</f>
      </c>
      <c r="G148" t="str">
        <v>→ CP6</v>
      </c>
      <c r="H148" t="str">
        <v>EXTREME</v>
      </c>
      <c r="I148">
        <f>IF(F148=1,1,IF(F148&lt;=3,1,IF(F148&lt;=5,3,IF(F148&lt;=7,5,7))))</f>
      </c>
      <c r="J148">
        <f>IF(F148=1,1,IF(F148&lt;=3,3,IF(F148&lt;=5,5,IF(F148&lt;=7,7,9))))</f>
      </c>
      <c r="K148">
        <f>IF(F148=1,1,IF(F148&lt;=3,5,IF(F148&lt;=5,7,IF(F148&lt;=7,9,9))))</f>
      </c>
      <c r="L148" s="1">
        <f>IF(D148&gt;0,1/K148,I148)</f>
      </c>
      <c r="M148" s="1">
        <f>IF(D148&gt;0,1/J148,J148)</f>
      </c>
      <c r="N148" s="1">
        <f>IF(D148&gt;0,1/I148,K148)</f>
      </c>
    </row>
    <row r="149">
      <c r="A149">
        <v>6</v>
      </c>
      <c r="B149" t="str">
        <v>CP1</v>
      </c>
      <c r="C149" t="str">
        <v>CP7</v>
      </c>
      <c r="D149">
        <v>2</v>
      </c>
      <c r="E149">
        <v>2</v>
      </c>
      <c r="F149">
        <f>ABS(D149)+1</f>
      </c>
      <c r="G149" t="str">
        <v>→ CP7</v>
      </c>
      <c r="H149" t="str">
        <v>MODERATE</v>
      </c>
      <c r="I149">
        <f>IF(F149=1,1,IF(F149&lt;=3,1,IF(F149&lt;=5,3,IF(F149&lt;=7,5,7))))</f>
      </c>
      <c r="J149">
        <f>IF(F149=1,1,IF(F149&lt;=3,3,IF(F149&lt;=5,5,IF(F149&lt;=7,7,9))))</f>
      </c>
      <c r="K149">
        <f>IF(F149=1,1,IF(F149&lt;=3,5,IF(F149&lt;=5,7,IF(F149&lt;=7,9,9))))</f>
      </c>
      <c r="L149" s="1">
        <f>IF(D149&gt;0,1/K149,I149)</f>
      </c>
      <c r="M149" s="1">
        <f>IF(D149&gt;0,1/J149,J149)</f>
      </c>
      <c r="N149" s="1">
        <f>IF(D149&gt;0,1/I149,K149)</f>
      </c>
    </row>
    <row r="150">
      <c r="A150">
        <v>7</v>
      </c>
      <c r="B150" t="str">
        <v>CP1</v>
      </c>
      <c r="C150" t="str">
        <v>CP8</v>
      </c>
      <c r="D150">
        <v>3</v>
      </c>
      <c r="E150">
        <v>3</v>
      </c>
      <c r="F150">
        <f>ABS(D150)+1</f>
      </c>
      <c r="G150" t="str">
        <v>→ CP8</v>
      </c>
      <c r="H150" t="str">
        <v>STRONG</v>
      </c>
      <c r="I150">
        <f>IF(F150=1,1,IF(F150&lt;=3,1,IF(F150&lt;=5,3,IF(F150&lt;=7,5,7))))</f>
      </c>
      <c r="J150">
        <f>IF(F150=1,1,IF(F150&lt;=3,3,IF(F150&lt;=5,5,IF(F150&lt;=7,7,9))))</f>
      </c>
      <c r="K150">
        <f>IF(F150=1,1,IF(F150&lt;=3,5,IF(F150&lt;=5,7,IF(F150&lt;=7,9,9))))</f>
      </c>
      <c r="L150" s="1">
        <f>IF(D150&gt;0,1/K150,I150)</f>
      </c>
      <c r="M150" s="1">
        <f>IF(D150&gt;0,1/J150,J150)</f>
      </c>
      <c r="N150" s="1">
        <f>IF(D150&gt;0,1/I150,K150)</f>
      </c>
    </row>
    <row r="151">
      <c r="A151">
        <v>8</v>
      </c>
      <c r="B151" t="str">
        <v>CP1</v>
      </c>
      <c r="C151" t="str">
        <v>CP9</v>
      </c>
      <c r="D151">
        <v>3</v>
      </c>
      <c r="E151">
        <v>3</v>
      </c>
      <c r="F151">
        <f>ABS(D151)+1</f>
      </c>
      <c r="G151" t="str">
        <v>→ CP9</v>
      </c>
      <c r="H151" t="str">
        <v>STRONG</v>
      </c>
      <c r="I151">
        <f>IF(F151=1,1,IF(F151&lt;=3,1,IF(F151&lt;=5,3,IF(F151&lt;=7,5,7))))</f>
      </c>
      <c r="J151">
        <f>IF(F151=1,1,IF(F151&lt;=3,3,IF(F151&lt;=5,5,IF(F151&lt;=7,7,9))))</f>
      </c>
      <c r="K151">
        <f>IF(F151=1,1,IF(F151&lt;=3,5,IF(F151&lt;=5,7,IF(F151&lt;=7,9,9))))</f>
      </c>
      <c r="L151" s="1">
        <f>IF(D151&gt;0,1/K151,I151)</f>
      </c>
      <c r="M151" s="1">
        <f>IF(D151&gt;0,1/J151,J151)</f>
      </c>
      <c r="N151" s="1">
        <f>IF(D151&gt;0,1/I151,K151)</f>
      </c>
    </row>
    <row r="152">
      <c r="A152">
        <v>9</v>
      </c>
      <c r="B152" t="str">
        <v>CP2</v>
      </c>
      <c r="C152" t="str">
        <v>CP3</v>
      </c>
      <c r="D152">
        <v>-2</v>
      </c>
      <c r="E152">
        <v>2</v>
      </c>
      <c r="F152">
        <f>ABS(D152)+1</f>
      </c>
      <c r="G152" t="str">
        <v>← CP2</v>
      </c>
      <c r="H152" t="str">
        <v>MODERATE</v>
      </c>
      <c r="I152">
        <f>IF(F152=1,1,IF(F152&lt;=3,1,IF(F152&lt;=5,3,IF(F152&lt;=7,5,7))))</f>
      </c>
      <c r="J152">
        <f>IF(F152=1,1,IF(F152&lt;=3,3,IF(F152&lt;=5,5,IF(F152&lt;=7,7,9))))</f>
      </c>
      <c r="K152">
        <f>IF(F152=1,1,IF(F152&lt;=3,5,IF(F152&lt;=5,7,IF(F152&lt;=7,9,9))))</f>
      </c>
      <c r="L152" s="1">
        <f>IF(D152&gt;0,1/K152,I152)</f>
      </c>
      <c r="M152" s="1">
        <f>IF(D152&gt;0,1/J152,J152)</f>
      </c>
      <c r="N152" s="1">
        <f>IF(D152&gt;0,1/I152,K152)</f>
      </c>
    </row>
    <row r="153">
      <c r="A153">
        <v>10</v>
      </c>
      <c r="B153" t="str">
        <v>CP2</v>
      </c>
      <c r="C153" t="str">
        <v>CP4</v>
      </c>
      <c r="D153">
        <v>-2</v>
      </c>
      <c r="E153">
        <v>2</v>
      </c>
      <c r="F153">
        <f>ABS(D153)+1</f>
      </c>
      <c r="G153" t="str">
        <v>← CP2</v>
      </c>
      <c r="H153" t="str">
        <v>MODERATE</v>
      </c>
      <c r="I153">
        <f>IF(F153=1,1,IF(F153&lt;=3,1,IF(F153&lt;=5,3,IF(F153&lt;=7,5,7))))</f>
      </c>
      <c r="J153">
        <f>IF(F153=1,1,IF(F153&lt;=3,3,IF(F153&lt;=5,5,IF(F153&lt;=7,7,9))))</f>
      </c>
      <c r="K153">
        <f>IF(F153=1,1,IF(F153&lt;=3,5,IF(F153&lt;=5,7,IF(F153&lt;=7,9,9))))</f>
      </c>
      <c r="L153" s="1">
        <f>IF(D153&gt;0,1/K153,I153)</f>
      </c>
      <c r="M153" s="1">
        <f>IF(D153&gt;0,1/J153,J153)</f>
      </c>
      <c r="N153" s="1">
        <f>IF(D153&gt;0,1/I153,K153)</f>
      </c>
    </row>
    <row r="154">
      <c r="A154">
        <v>11</v>
      </c>
      <c r="B154" t="str">
        <v>CP2</v>
      </c>
      <c r="C154" t="str">
        <v>CP5</v>
      </c>
      <c r="D154">
        <v>-3</v>
      </c>
      <c r="E154">
        <v>3</v>
      </c>
      <c r="F154">
        <f>ABS(D154)+1</f>
      </c>
      <c r="G154" t="str">
        <v>← CP2</v>
      </c>
      <c r="H154" t="str">
        <v>STRONG</v>
      </c>
      <c r="I154">
        <f>IF(F154=1,1,IF(F154&lt;=3,1,IF(F154&lt;=5,3,IF(F154&lt;=7,5,7))))</f>
      </c>
      <c r="J154">
        <f>IF(F154=1,1,IF(F154&lt;=3,3,IF(F154&lt;=5,5,IF(F154&lt;=7,7,9))))</f>
      </c>
      <c r="K154">
        <f>IF(F154=1,1,IF(F154&lt;=3,5,IF(F154&lt;=5,7,IF(F154&lt;=7,9,9))))</f>
      </c>
      <c r="L154" s="1">
        <f>IF(D154&gt;0,1/K154,I154)</f>
      </c>
      <c r="M154" s="1">
        <f>IF(D154&gt;0,1/J154,J154)</f>
      </c>
      <c r="N154" s="1">
        <f>IF(D154&gt;0,1/I154,K154)</f>
      </c>
    </row>
    <row r="155">
      <c r="A155">
        <v>12</v>
      </c>
      <c r="B155" t="str">
        <v>CP2</v>
      </c>
      <c r="C155" t="str">
        <v>CP6</v>
      </c>
      <c r="D155">
        <v>-2</v>
      </c>
      <c r="E155">
        <v>2</v>
      </c>
      <c r="F155">
        <f>ABS(D155)+1</f>
      </c>
      <c r="G155" t="str">
        <v>← CP2</v>
      </c>
      <c r="H155" t="str">
        <v>MODERATE</v>
      </c>
      <c r="I155">
        <f>IF(F155=1,1,IF(F155&lt;=3,1,IF(F155&lt;=5,3,IF(F155&lt;=7,5,7))))</f>
      </c>
      <c r="J155">
        <f>IF(F155=1,1,IF(F155&lt;=3,3,IF(F155&lt;=5,5,IF(F155&lt;=7,7,9))))</f>
      </c>
      <c r="K155">
        <f>IF(F155=1,1,IF(F155&lt;=3,5,IF(F155&lt;=5,7,IF(F155&lt;=7,9,9))))</f>
      </c>
      <c r="L155" s="1">
        <f>IF(D155&gt;0,1/K155,I155)</f>
      </c>
      <c r="M155" s="1">
        <f>IF(D155&gt;0,1/J155,J155)</f>
      </c>
      <c r="N155" s="1">
        <f>IF(D155&gt;0,1/I155,K155)</f>
      </c>
    </row>
    <row r="156">
      <c r="A156">
        <v>13</v>
      </c>
      <c r="B156" t="str">
        <v>CP2</v>
      </c>
      <c r="C156" t="str">
        <v>CP7</v>
      </c>
      <c r="D156">
        <v>-3</v>
      </c>
      <c r="E156">
        <v>3</v>
      </c>
      <c r="F156">
        <f>ABS(D156)+1</f>
      </c>
      <c r="G156" t="str">
        <v>← CP2</v>
      </c>
      <c r="H156" t="str">
        <v>STRONG</v>
      </c>
      <c r="I156">
        <f>IF(F156=1,1,IF(F156&lt;=3,1,IF(F156&lt;=5,3,IF(F156&lt;=7,5,7))))</f>
      </c>
      <c r="J156">
        <f>IF(F156=1,1,IF(F156&lt;=3,3,IF(F156&lt;=5,5,IF(F156&lt;=7,7,9))))</f>
      </c>
      <c r="K156">
        <f>IF(F156=1,1,IF(F156&lt;=3,5,IF(F156&lt;=5,7,IF(F156&lt;=7,9,9))))</f>
      </c>
      <c r="L156" s="1">
        <f>IF(D156&gt;0,1/K156,I156)</f>
      </c>
      <c r="M156" s="1">
        <f>IF(D156&gt;0,1/J156,J156)</f>
      </c>
      <c r="N156" s="1">
        <f>IF(D156&gt;0,1/I156,K156)</f>
      </c>
    </row>
    <row r="157">
      <c r="A157">
        <v>14</v>
      </c>
      <c r="B157" t="str">
        <v>CP2</v>
      </c>
      <c r="C157" t="str">
        <v>CP8</v>
      </c>
      <c r="D157">
        <v>-2</v>
      </c>
      <c r="E157">
        <v>2</v>
      </c>
      <c r="F157">
        <f>ABS(D157)+1</f>
      </c>
      <c r="G157" t="str">
        <v>← CP2</v>
      </c>
      <c r="H157" t="str">
        <v>MODERATE</v>
      </c>
      <c r="I157">
        <f>IF(F157=1,1,IF(F157&lt;=3,1,IF(F157&lt;=5,3,IF(F157&lt;=7,5,7))))</f>
      </c>
      <c r="J157">
        <f>IF(F157=1,1,IF(F157&lt;=3,3,IF(F157&lt;=5,5,IF(F157&lt;=7,7,9))))</f>
      </c>
      <c r="K157">
        <f>IF(F157=1,1,IF(F157&lt;=3,5,IF(F157&lt;=5,7,IF(F157&lt;=7,9,9))))</f>
      </c>
      <c r="L157" s="1">
        <f>IF(D157&gt;0,1/K157,I157)</f>
      </c>
      <c r="M157" s="1">
        <f>IF(D157&gt;0,1/J157,J157)</f>
      </c>
      <c r="N157" s="1">
        <f>IF(D157&gt;0,1/I157,K157)</f>
      </c>
    </row>
    <row r="158">
      <c r="A158">
        <v>15</v>
      </c>
      <c r="B158" t="str">
        <v>CP2</v>
      </c>
      <c r="C158" t="str">
        <v>CP9</v>
      </c>
      <c r="D158">
        <v>-3</v>
      </c>
      <c r="E158">
        <v>3</v>
      </c>
      <c r="F158">
        <f>ABS(D158)+1</f>
      </c>
      <c r="G158" t="str">
        <v>← CP2</v>
      </c>
      <c r="H158" t="str">
        <v>STRONG</v>
      </c>
      <c r="I158">
        <f>IF(F158=1,1,IF(F158&lt;=3,1,IF(F158&lt;=5,3,IF(F158&lt;=7,5,7))))</f>
      </c>
      <c r="J158">
        <f>IF(F158=1,1,IF(F158&lt;=3,3,IF(F158&lt;=5,5,IF(F158&lt;=7,7,9))))</f>
      </c>
      <c r="K158">
        <f>IF(F158=1,1,IF(F158&lt;=3,5,IF(F158&lt;=5,7,IF(F158&lt;=7,9,9))))</f>
      </c>
      <c r="L158" s="1">
        <f>IF(D158&gt;0,1/K158,I158)</f>
      </c>
      <c r="M158" s="1">
        <f>IF(D158&gt;0,1/J158,J158)</f>
      </c>
      <c r="N158" s="1">
        <f>IF(D158&gt;0,1/I158,K158)</f>
      </c>
    </row>
    <row r="159">
      <c r="A159">
        <v>16</v>
      </c>
      <c r="B159" t="str">
        <v>CP3</v>
      </c>
      <c r="C159" t="str">
        <v>CP4</v>
      </c>
      <c r="D159">
        <v>4</v>
      </c>
      <c r="E159">
        <v>4</v>
      </c>
      <c r="F159">
        <f>ABS(D159)+1</f>
      </c>
      <c r="G159" t="str">
        <v>→ CP4</v>
      </c>
      <c r="H159" t="str">
        <v>STRONG</v>
      </c>
      <c r="I159">
        <f>IF(F159=1,1,IF(F159&lt;=3,1,IF(F159&lt;=5,3,IF(F159&lt;=7,5,7))))</f>
      </c>
      <c r="J159">
        <f>IF(F159=1,1,IF(F159&lt;=3,3,IF(F159&lt;=5,5,IF(F159&lt;=7,7,9))))</f>
      </c>
      <c r="K159">
        <f>IF(F159=1,1,IF(F159&lt;=3,5,IF(F159&lt;=5,7,IF(F159&lt;=7,9,9))))</f>
      </c>
      <c r="L159" s="1">
        <f>IF(D159&gt;0,1/K159,I159)</f>
      </c>
      <c r="M159" s="1">
        <f>IF(D159&gt;0,1/J159,J159)</f>
      </c>
      <c r="N159" s="1">
        <f>IF(D159&gt;0,1/I159,K159)</f>
      </c>
    </row>
    <row r="160">
      <c r="A160">
        <v>17</v>
      </c>
      <c r="B160" t="str">
        <v>CP3</v>
      </c>
      <c r="C160" t="str">
        <v>CP5</v>
      </c>
      <c r="D160">
        <v>2</v>
      </c>
      <c r="E160">
        <v>2</v>
      </c>
      <c r="F160">
        <f>ABS(D160)+1</f>
      </c>
      <c r="G160" t="str">
        <v>→ CP5</v>
      </c>
      <c r="H160" t="str">
        <v>MODERATE</v>
      </c>
      <c r="I160">
        <f>IF(F160=1,1,IF(F160&lt;=3,1,IF(F160&lt;=5,3,IF(F160&lt;=7,5,7))))</f>
      </c>
      <c r="J160">
        <f>IF(F160=1,1,IF(F160&lt;=3,3,IF(F160&lt;=5,5,IF(F160&lt;=7,7,9))))</f>
      </c>
      <c r="K160">
        <f>IF(F160=1,1,IF(F160&lt;=3,5,IF(F160&lt;=5,7,IF(F160&lt;=7,9,9))))</f>
      </c>
      <c r="L160" s="1">
        <f>IF(D160&gt;0,1/K160,I160)</f>
      </c>
      <c r="M160" s="1">
        <f>IF(D160&gt;0,1/J160,J160)</f>
      </c>
      <c r="N160" s="1">
        <f>IF(D160&gt;0,1/I160,K160)</f>
      </c>
    </row>
    <row r="161">
      <c r="A161">
        <v>18</v>
      </c>
      <c r="B161" t="str">
        <v>CP3</v>
      </c>
      <c r="C161" t="str">
        <v>CP6</v>
      </c>
      <c r="D161">
        <v>2</v>
      </c>
      <c r="E161">
        <v>2</v>
      </c>
      <c r="F161">
        <f>ABS(D161)+1</f>
      </c>
      <c r="G161" t="str">
        <v>→ CP6</v>
      </c>
      <c r="H161" t="str">
        <v>MODERATE</v>
      </c>
      <c r="I161">
        <f>IF(F161=1,1,IF(F161&lt;=3,1,IF(F161&lt;=5,3,IF(F161&lt;=7,5,7))))</f>
      </c>
      <c r="J161">
        <f>IF(F161=1,1,IF(F161&lt;=3,3,IF(F161&lt;=5,5,IF(F161&lt;=7,7,9))))</f>
      </c>
      <c r="K161">
        <f>IF(F161=1,1,IF(F161&lt;=3,5,IF(F161&lt;=5,7,IF(F161&lt;=7,9,9))))</f>
      </c>
      <c r="L161" s="1">
        <f>IF(D161&gt;0,1/K161,I161)</f>
      </c>
      <c r="M161" s="1">
        <f>IF(D161&gt;0,1/J161,J161)</f>
      </c>
      <c r="N161" s="1">
        <f>IF(D161&gt;0,1/I161,K161)</f>
      </c>
    </row>
    <row r="162">
      <c r="A162">
        <v>19</v>
      </c>
      <c r="B162" t="str">
        <v>CP3</v>
      </c>
      <c r="C162" t="str">
        <v>CP7</v>
      </c>
      <c r="D162">
        <v>3</v>
      </c>
      <c r="E162">
        <v>3</v>
      </c>
      <c r="F162">
        <f>ABS(D162)+1</f>
      </c>
      <c r="G162" t="str">
        <v>→ CP7</v>
      </c>
      <c r="H162" t="str">
        <v>STRONG</v>
      </c>
      <c r="I162">
        <f>IF(F162=1,1,IF(F162&lt;=3,1,IF(F162&lt;=5,3,IF(F162&lt;=7,5,7))))</f>
      </c>
      <c r="J162">
        <f>IF(F162=1,1,IF(F162&lt;=3,3,IF(F162&lt;=5,5,IF(F162&lt;=7,7,9))))</f>
      </c>
      <c r="K162">
        <f>IF(F162=1,1,IF(F162&lt;=3,5,IF(F162&lt;=5,7,IF(F162&lt;=7,9,9))))</f>
      </c>
      <c r="L162" s="1">
        <f>IF(D162&gt;0,1/K162,I162)</f>
      </c>
      <c r="M162" s="1">
        <f>IF(D162&gt;0,1/J162,J162)</f>
      </c>
      <c r="N162" s="1">
        <f>IF(D162&gt;0,1/I162,K162)</f>
      </c>
    </row>
    <row r="163">
      <c r="A163">
        <v>20</v>
      </c>
      <c r="B163" t="str">
        <v>CP3</v>
      </c>
      <c r="C163" t="str">
        <v>CP8</v>
      </c>
      <c r="D163">
        <v>2</v>
      </c>
      <c r="E163">
        <v>2</v>
      </c>
      <c r="F163">
        <f>ABS(D163)+1</f>
      </c>
      <c r="G163" t="str">
        <v>→ CP8</v>
      </c>
      <c r="H163" t="str">
        <v>MODERATE</v>
      </c>
      <c r="I163">
        <f>IF(F163=1,1,IF(F163&lt;=3,1,IF(F163&lt;=5,3,IF(F163&lt;=7,5,7))))</f>
      </c>
      <c r="J163">
        <f>IF(F163=1,1,IF(F163&lt;=3,3,IF(F163&lt;=5,5,IF(F163&lt;=7,7,9))))</f>
      </c>
      <c r="K163">
        <f>IF(F163=1,1,IF(F163&lt;=3,5,IF(F163&lt;=5,7,IF(F163&lt;=7,9,9))))</f>
      </c>
      <c r="L163" s="1">
        <f>IF(D163&gt;0,1/K163,I163)</f>
      </c>
      <c r="M163" s="1">
        <f>IF(D163&gt;0,1/J163,J163)</f>
      </c>
      <c r="N163" s="1">
        <f>IF(D163&gt;0,1/I163,K163)</f>
      </c>
    </row>
    <row r="164">
      <c r="A164">
        <v>21</v>
      </c>
      <c r="B164" t="str">
        <v>CP3</v>
      </c>
      <c r="C164" t="str">
        <v>CP9</v>
      </c>
      <c r="D164">
        <v>8</v>
      </c>
      <c r="E164">
        <v>8</v>
      </c>
      <c r="F164">
        <f>ABS(D164)+1</f>
      </c>
      <c r="G164" t="str">
        <v>→ CP9</v>
      </c>
      <c r="H164" t="str">
        <v>EXTREME</v>
      </c>
      <c r="I164">
        <f>IF(F164=1,1,IF(F164&lt;=3,1,IF(F164&lt;=5,3,IF(F164&lt;=7,5,7))))</f>
      </c>
      <c r="J164">
        <f>IF(F164=1,1,IF(F164&lt;=3,3,IF(F164&lt;=5,5,IF(F164&lt;=7,7,9))))</f>
      </c>
      <c r="K164">
        <f>IF(F164=1,1,IF(F164&lt;=3,5,IF(F164&lt;=5,7,IF(F164&lt;=7,9,9))))</f>
      </c>
      <c r="L164" s="1">
        <f>IF(D164&gt;0,1/K164,I164)</f>
      </c>
      <c r="M164" s="1">
        <f>IF(D164&gt;0,1/J164,J164)</f>
      </c>
      <c r="N164" s="1">
        <f>IF(D164&gt;0,1/I164,K164)</f>
      </c>
    </row>
    <row r="165">
      <c r="A165">
        <v>22</v>
      </c>
      <c r="B165" t="str">
        <v>CP4</v>
      </c>
      <c r="C165" t="str">
        <v>CP5</v>
      </c>
      <c r="D165">
        <v>-2</v>
      </c>
      <c r="E165">
        <v>2</v>
      </c>
      <c r="F165">
        <f>ABS(D165)+1</f>
      </c>
      <c r="G165" t="str">
        <v>← CP4</v>
      </c>
      <c r="H165" t="str">
        <v>MODERATE</v>
      </c>
      <c r="I165">
        <f>IF(F165=1,1,IF(F165&lt;=3,1,IF(F165&lt;=5,3,IF(F165&lt;=7,5,7))))</f>
      </c>
      <c r="J165">
        <f>IF(F165=1,1,IF(F165&lt;=3,3,IF(F165&lt;=5,5,IF(F165&lt;=7,7,9))))</f>
      </c>
      <c r="K165">
        <f>IF(F165=1,1,IF(F165&lt;=3,5,IF(F165&lt;=5,7,IF(F165&lt;=7,9,9))))</f>
      </c>
      <c r="L165" s="1">
        <f>IF(D165&gt;0,1/K165,I165)</f>
      </c>
      <c r="M165" s="1">
        <f>IF(D165&gt;0,1/J165,J165)</f>
      </c>
      <c r="N165" s="1">
        <f>IF(D165&gt;0,1/I165,K165)</f>
      </c>
    </row>
    <row r="166">
      <c r="A166">
        <v>23</v>
      </c>
      <c r="B166" t="str">
        <v>CP4</v>
      </c>
      <c r="C166" t="str">
        <v>CP6</v>
      </c>
      <c r="D166">
        <v>-4</v>
      </c>
      <c r="E166">
        <v>4</v>
      </c>
      <c r="F166">
        <f>ABS(D166)+1</f>
      </c>
      <c r="G166" t="str">
        <v>← CP4</v>
      </c>
      <c r="H166" t="str">
        <v>STRONG</v>
      </c>
      <c r="I166">
        <f>IF(F166=1,1,IF(F166&lt;=3,1,IF(F166&lt;=5,3,IF(F166&lt;=7,5,7))))</f>
      </c>
      <c r="J166">
        <f>IF(F166=1,1,IF(F166&lt;=3,3,IF(F166&lt;=5,5,IF(F166&lt;=7,7,9))))</f>
      </c>
      <c r="K166">
        <f>IF(F166=1,1,IF(F166&lt;=3,5,IF(F166&lt;=5,7,IF(F166&lt;=7,9,9))))</f>
      </c>
      <c r="L166" s="1">
        <f>IF(D166&gt;0,1/K166,I166)</f>
      </c>
      <c r="M166" s="1">
        <f>IF(D166&gt;0,1/J166,J166)</f>
      </c>
      <c r="N166" s="1">
        <f>IF(D166&gt;0,1/I166,K166)</f>
      </c>
    </row>
    <row r="167">
      <c r="A167">
        <v>24</v>
      </c>
      <c r="B167" t="str">
        <v>CP4</v>
      </c>
      <c r="C167" t="str">
        <v>CP7</v>
      </c>
      <c r="D167">
        <v>-2</v>
      </c>
      <c r="E167">
        <v>2</v>
      </c>
      <c r="F167">
        <f>ABS(D167)+1</f>
      </c>
      <c r="G167" t="str">
        <v>← CP4</v>
      </c>
      <c r="H167" t="str">
        <v>MODERATE</v>
      </c>
      <c r="I167">
        <f>IF(F167=1,1,IF(F167&lt;=3,1,IF(F167&lt;=5,3,IF(F167&lt;=7,5,7))))</f>
      </c>
      <c r="J167">
        <f>IF(F167=1,1,IF(F167&lt;=3,3,IF(F167&lt;=5,5,IF(F167&lt;=7,7,9))))</f>
      </c>
      <c r="K167">
        <f>IF(F167=1,1,IF(F167&lt;=3,5,IF(F167&lt;=5,7,IF(F167&lt;=7,9,9))))</f>
      </c>
      <c r="L167" s="1">
        <f>IF(D167&gt;0,1/K167,I167)</f>
      </c>
      <c r="M167" s="1">
        <f>IF(D167&gt;0,1/J167,J167)</f>
      </c>
      <c r="N167" s="1">
        <f>IF(D167&gt;0,1/I167,K167)</f>
      </c>
    </row>
    <row r="168">
      <c r="A168">
        <v>25</v>
      </c>
      <c r="B168" t="str">
        <v>CP4</v>
      </c>
      <c r="C168" t="str">
        <v>CP8</v>
      </c>
      <c r="D168">
        <v>-2</v>
      </c>
      <c r="E168">
        <v>2</v>
      </c>
      <c r="F168">
        <f>ABS(D168)+1</f>
      </c>
      <c r="G168" t="str">
        <v>← CP4</v>
      </c>
      <c r="H168" t="str">
        <v>MODERATE</v>
      </c>
      <c r="I168">
        <f>IF(F168=1,1,IF(F168&lt;=3,1,IF(F168&lt;=5,3,IF(F168&lt;=7,5,7))))</f>
      </c>
      <c r="J168">
        <f>IF(F168=1,1,IF(F168&lt;=3,3,IF(F168&lt;=5,5,IF(F168&lt;=7,7,9))))</f>
      </c>
      <c r="K168">
        <f>IF(F168=1,1,IF(F168&lt;=3,5,IF(F168&lt;=5,7,IF(F168&lt;=7,9,9))))</f>
      </c>
      <c r="L168" s="1">
        <f>IF(D168&gt;0,1/K168,I168)</f>
      </c>
      <c r="M168" s="1">
        <f>IF(D168&gt;0,1/J168,J168)</f>
      </c>
      <c r="N168" s="1">
        <f>IF(D168&gt;0,1/I168,K168)</f>
      </c>
    </row>
    <row r="169">
      <c r="A169">
        <v>26</v>
      </c>
      <c r="B169" t="str">
        <v>CP4</v>
      </c>
      <c r="C169" t="str">
        <v>CP9</v>
      </c>
      <c r="D169">
        <v>-2</v>
      </c>
      <c r="E169">
        <v>2</v>
      </c>
      <c r="F169">
        <f>ABS(D169)+1</f>
      </c>
      <c r="G169" t="str">
        <v>← CP4</v>
      </c>
      <c r="H169" t="str">
        <v>MODERATE</v>
      </c>
      <c r="I169">
        <f>IF(F169=1,1,IF(F169&lt;=3,1,IF(F169&lt;=5,3,IF(F169&lt;=7,5,7))))</f>
      </c>
      <c r="J169">
        <f>IF(F169=1,1,IF(F169&lt;=3,3,IF(F169&lt;=5,5,IF(F169&lt;=7,7,9))))</f>
      </c>
      <c r="K169">
        <f>IF(F169=1,1,IF(F169&lt;=3,5,IF(F169&lt;=5,7,IF(F169&lt;=7,9,9))))</f>
      </c>
      <c r="L169" s="1">
        <f>IF(D169&gt;0,1/K169,I169)</f>
      </c>
      <c r="M169" s="1">
        <f>IF(D169&gt;0,1/J169,J169)</f>
      </c>
      <c r="N169" s="1">
        <f>IF(D169&gt;0,1/I169,K169)</f>
      </c>
    </row>
    <row r="170">
      <c r="A170">
        <v>27</v>
      </c>
      <c r="B170" t="str">
        <v>CP5</v>
      </c>
      <c r="C170" t="str">
        <v>CP6</v>
      </c>
      <c r="D170">
        <v>-3</v>
      </c>
      <c r="E170">
        <v>3</v>
      </c>
      <c r="F170">
        <f>ABS(D170)+1</f>
      </c>
      <c r="G170" t="str">
        <v>← CP5</v>
      </c>
      <c r="H170" t="str">
        <v>STRONG</v>
      </c>
      <c r="I170">
        <f>IF(F170=1,1,IF(F170&lt;=3,1,IF(F170&lt;=5,3,IF(F170&lt;=7,5,7))))</f>
      </c>
      <c r="J170">
        <f>IF(F170=1,1,IF(F170&lt;=3,3,IF(F170&lt;=5,5,IF(F170&lt;=7,7,9))))</f>
      </c>
      <c r="K170">
        <f>IF(F170=1,1,IF(F170&lt;=3,5,IF(F170&lt;=5,7,IF(F170&lt;=7,9,9))))</f>
      </c>
      <c r="L170" s="1">
        <f>IF(D170&gt;0,1/K170,I170)</f>
      </c>
      <c r="M170" s="1">
        <f>IF(D170&gt;0,1/J170,J170)</f>
      </c>
      <c r="N170" s="1">
        <f>IF(D170&gt;0,1/I170,K170)</f>
      </c>
    </row>
    <row r="171">
      <c r="A171">
        <v>28</v>
      </c>
      <c r="B171" t="str">
        <v>CP5</v>
      </c>
      <c r="C171" t="str">
        <v>CP7</v>
      </c>
      <c r="D171">
        <v>-3</v>
      </c>
      <c r="E171">
        <v>3</v>
      </c>
      <c r="F171">
        <f>ABS(D171)+1</f>
      </c>
      <c r="G171" t="str">
        <v>← CP5</v>
      </c>
      <c r="H171" t="str">
        <v>STRONG</v>
      </c>
      <c r="I171">
        <f>IF(F171=1,1,IF(F171&lt;=3,1,IF(F171&lt;=5,3,IF(F171&lt;=7,5,7))))</f>
      </c>
      <c r="J171">
        <f>IF(F171=1,1,IF(F171&lt;=3,3,IF(F171&lt;=5,5,IF(F171&lt;=7,7,9))))</f>
      </c>
      <c r="K171">
        <f>IF(F171=1,1,IF(F171&lt;=3,5,IF(F171&lt;=5,7,IF(F171&lt;=7,9,9))))</f>
      </c>
      <c r="L171" s="1">
        <f>IF(D171&gt;0,1/K171,I171)</f>
      </c>
      <c r="M171" s="1">
        <f>IF(D171&gt;0,1/J171,J171)</f>
      </c>
      <c r="N171" s="1">
        <f>IF(D171&gt;0,1/I171,K171)</f>
      </c>
    </row>
    <row r="172">
      <c r="A172">
        <v>29</v>
      </c>
      <c r="B172" t="str">
        <v>CP5</v>
      </c>
      <c r="C172" t="str">
        <v>CP8</v>
      </c>
      <c r="D172">
        <v>-2</v>
      </c>
      <c r="E172">
        <v>2</v>
      </c>
      <c r="F172">
        <f>ABS(D172)+1</f>
      </c>
      <c r="G172" t="str">
        <v>← CP5</v>
      </c>
      <c r="H172" t="str">
        <v>MODERATE</v>
      </c>
      <c r="I172">
        <f>IF(F172=1,1,IF(F172&lt;=3,1,IF(F172&lt;=5,3,IF(F172&lt;=7,5,7))))</f>
      </c>
      <c r="J172">
        <f>IF(F172=1,1,IF(F172&lt;=3,3,IF(F172&lt;=5,5,IF(F172&lt;=7,7,9))))</f>
      </c>
      <c r="K172">
        <f>IF(F172=1,1,IF(F172&lt;=3,5,IF(F172&lt;=5,7,IF(F172&lt;=7,9,9))))</f>
      </c>
      <c r="L172" s="1">
        <f>IF(D172&gt;0,1/K172,I172)</f>
      </c>
      <c r="M172" s="1">
        <f>IF(D172&gt;0,1/J172,J172)</f>
      </c>
      <c r="N172" s="1">
        <f>IF(D172&gt;0,1/I172,K172)</f>
      </c>
    </row>
    <row r="173">
      <c r="A173">
        <v>30</v>
      </c>
      <c r="B173" t="str">
        <v>CP5</v>
      </c>
      <c r="C173" t="str">
        <v>CP9</v>
      </c>
      <c r="D173">
        <v>-3</v>
      </c>
      <c r="E173">
        <v>3</v>
      </c>
      <c r="F173">
        <f>ABS(D173)+1</f>
      </c>
      <c r="G173" t="str">
        <v>← CP5</v>
      </c>
      <c r="H173" t="str">
        <v>STRONG</v>
      </c>
      <c r="I173">
        <f>IF(F173=1,1,IF(F173&lt;=3,1,IF(F173&lt;=5,3,IF(F173&lt;=7,5,7))))</f>
      </c>
      <c r="J173">
        <f>IF(F173=1,1,IF(F173&lt;=3,3,IF(F173&lt;=5,5,IF(F173&lt;=7,7,9))))</f>
      </c>
      <c r="K173">
        <f>IF(F173=1,1,IF(F173&lt;=3,5,IF(F173&lt;=5,7,IF(F173&lt;=7,9,9))))</f>
      </c>
      <c r="L173" s="1">
        <f>IF(D173&gt;0,1/K173,I173)</f>
      </c>
      <c r="M173" s="1">
        <f>IF(D173&gt;0,1/J173,J173)</f>
      </c>
      <c r="N173" s="1">
        <f>IF(D173&gt;0,1/I173,K173)</f>
      </c>
    </row>
    <row r="174">
      <c r="A174">
        <v>31</v>
      </c>
      <c r="B174" t="str">
        <v>CP6</v>
      </c>
      <c r="C174" t="str">
        <v>CP7</v>
      </c>
      <c r="D174">
        <v>8</v>
      </c>
      <c r="E174">
        <v>8</v>
      </c>
      <c r="F174">
        <f>ABS(D174)+1</f>
      </c>
      <c r="G174" t="str">
        <v>→ CP7</v>
      </c>
      <c r="H174" t="str">
        <v>EXTREME</v>
      </c>
      <c r="I174">
        <f>IF(F174=1,1,IF(F174&lt;=3,1,IF(F174&lt;=5,3,IF(F174&lt;=7,5,7))))</f>
      </c>
      <c r="J174">
        <f>IF(F174=1,1,IF(F174&lt;=3,3,IF(F174&lt;=5,5,IF(F174&lt;=7,7,9))))</f>
      </c>
      <c r="K174">
        <f>IF(F174=1,1,IF(F174&lt;=3,5,IF(F174&lt;=5,7,IF(F174&lt;=7,9,9))))</f>
      </c>
      <c r="L174" s="1">
        <f>IF(D174&gt;0,1/K174,I174)</f>
      </c>
      <c r="M174" s="1">
        <f>IF(D174&gt;0,1/J174,J174)</f>
      </c>
      <c r="N174" s="1">
        <f>IF(D174&gt;0,1/I174,K174)</f>
      </c>
    </row>
    <row r="175">
      <c r="A175">
        <v>32</v>
      </c>
      <c r="B175" t="str">
        <v>CP6</v>
      </c>
      <c r="C175" t="str">
        <v>CP8</v>
      </c>
      <c r="D175">
        <v>-2</v>
      </c>
      <c r="E175">
        <v>2</v>
      </c>
      <c r="F175">
        <f>ABS(D175)+1</f>
      </c>
      <c r="G175" t="str">
        <v>← CP6</v>
      </c>
      <c r="H175" t="str">
        <v>MODERATE</v>
      </c>
      <c r="I175">
        <f>IF(F175=1,1,IF(F175&lt;=3,1,IF(F175&lt;=5,3,IF(F175&lt;=7,5,7))))</f>
      </c>
      <c r="J175">
        <f>IF(F175=1,1,IF(F175&lt;=3,3,IF(F175&lt;=5,5,IF(F175&lt;=7,7,9))))</f>
      </c>
      <c r="K175">
        <f>IF(F175=1,1,IF(F175&lt;=3,5,IF(F175&lt;=5,7,IF(F175&lt;=7,9,9))))</f>
      </c>
      <c r="L175" s="1">
        <f>IF(D175&gt;0,1/K175,I175)</f>
      </c>
      <c r="M175" s="1">
        <f>IF(D175&gt;0,1/J175,J175)</f>
      </c>
      <c r="N175" s="1">
        <f>IF(D175&gt;0,1/I175,K175)</f>
      </c>
    </row>
    <row r="176">
      <c r="A176">
        <v>33</v>
      </c>
      <c r="B176" t="str">
        <v>CP6</v>
      </c>
      <c r="C176" t="str">
        <v>CP9</v>
      </c>
      <c r="D176">
        <v>-2</v>
      </c>
      <c r="E176">
        <v>2</v>
      </c>
      <c r="F176">
        <f>ABS(D176)+1</f>
      </c>
      <c r="G176" t="str">
        <v>← CP6</v>
      </c>
      <c r="H176" t="str">
        <v>MODERATE</v>
      </c>
      <c r="I176">
        <f>IF(F176=1,1,IF(F176&lt;=3,1,IF(F176&lt;=5,3,IF(F176&lt;=7,5,7))))</f>
      </c>
      <c r="J176">
        <f>IF(F176=1,1,IF(F176&lt;=3,3,IF(F176&lt;=5,5,IF(F176&lt;=7,7,9))))</f>
      </c>
      <c r="K176">
        <f>IF(F176=1,1,IF(F176&lt;=3,5,IF(F176&lt;=5,7,IF(F176&lt;=7,9,9))))</f>
      </c>
      <c r="L176" s="1">
        <f>IF(D176&gt;0,1/K176,I176)</f>
      </c>
      <c r="M176" s="1">
        <f>IF(D176&gt;0,1/J176,J176)</f>
      </c>
      <c r="N176" s="1">
        <f>IF(D176&gt;0,1/I176,K176)</f>
      </c>
    </row>
    <row r="177">
      <c r="A177">
        <v>34</v>
      </c>
      <c r="B177" t="str">
        <v>CP7</v>
      </c>
      <c r="C177" t="str">
        <v>CP8</v>
      </c>
      <c r="D177">
        <v>-3</v>
      </c>
      <c r="E177">
        <v>3</v>
      </c>
      <c r="F177">
        <f>ABS(D177)+1</f>
      </c>
      <c r="G177" t="str">
        <v>← CP7</v>
      </c>
      <c r="H177" t="str">
        <v>STRONG</v>
      </c>
      <c r="I177">
        <f>IF(F177=1,1,IF(F177&lt;=3,1,IF(F177&lt;=5,3,IF(F177&lt;=7,5,7))))</f>
      </c>
      <c r="J177">
        <f>IF(F177=1,1,IF(F177&lt;=3,3,IF(F177&lt;=5,5,IF(F177&lt;=7,7,9))))</f>
      </c>
      <c r="K177">
        <f>IF(F177=1,1,IF(F177&lt;=3,5,IF(F177&lt;=5,7,IF(F177&lt;=7,9,9))))</f>
      </c>
      <c r="L177" s="1">
        <f>IF(D177&gt;0,1/K177,I177)</f>
      </c>
      <c r="M177" s="1">
        <f>IF(D177&gt;0,1/J177,J177)</f>
      </c>
      <c r="N177" s="1">
        <f>IF(D177&gt;0,1/I177,K177)</f>
      </c>
    </row>
    <row r="178">
      <c r="A178">
        <v>35</v>
      </c>
      <c r="B178" t="str">
        <v>CP7</v>
      </c>
      <c r="C178" t="str">
        <v>CP9</v>
      </c>
      <c r="D178">
        <v>8</v>
      </c>
      <c r="E178">
        <v>8</v>
      </c>
      <c r="F178">
        <f>ABS(D178)+1</f>
      </c>
      <c r="G178" t="str">
        <v>→ CP9</v>
      </c>
      <c r="H178" t="str">
        <v>EXTREME</v>
      </c>
      <c r="I178">
        <f>IF(F178=1,1,IF(F178&lt;=3,1,IF(F178&lt;=5,3,IF(F178&lt;=7,5,7))))</f>
      </c>
      <c r="J178">
        <f>IF(F178=1,1,IF(F178&lt;=3,3,IF(F178&lt;=5,5,IF(F178&lt;=7,7,9))))</f>
      </c>
      <c r="K178">
        <f>IF(F178=1,1,IF(F178&lt;=3,5,IF(F178&lt;=5,7,IF(F178&lt;=7,9,9))))</f>
      </c>
      <c r="L178" s="1">
        <f>IF(D178&gt;0,1/K178,I178)</f>
      </c>
      <c r="M178" s="1">
        <f>IF(D178&gt;0,1/J178,J178)</f>
      </c>
      <c r="N178" s="1">
        <f>IF(D178&gt;0,1/I178,K178)</f>
      </c>
    </row>
    <row r="179">
      <c r="A179">
        <v>36</v>
      </c>
      <c r="B179" t="str">
        <v>CP8</v>
      </c>
      <c r="C179" t="str">
        <v>CP9</v>
      </c>
      <c r="D179">
        <v>-2</v>
      </c>
      <c r="E179">
        <v>2</v>
      </c>
      <c r="F179">
        <f>ABS(D179)+1</f>
      </c>
      <c r="G179" t="str">
        <v>← CP8</v>
      </c>
      <c r="H179" t="str">
        <v>MODERATE</v>
      </c>
      <c r="I179">
        <f>IF(F179=1,1,IF(F179&lt;=3,1,IF(F179&lt;=5,3,IF(F179&lt;=7,5,7))))</f>
      </c>
      <c r="J179">
        <f>IF(F179=1,1,IF(F179&lt;=3,3,IF(F179&lt;=5,5,IF(F179&lt;=7,7,9))))</f>
      </c>
      <c r="K179">
        <f>IF(F179=1,1,IF(F179&lt;=3,5,IF(F179&lt;=5,7,IF(F179&lt;=7,9,9))))</f>
      </c>
      <c r="L179" s="1">
        <f>IF(D179&gt;0,1/K179,I179)</f>
      </c>
      <c r="M179" s="1">
        <f>IF(D179&gt;0,1/J179,J179)</f>
      </c>
      <c r="N179" s="1">
        <f>IF(D179&gt;0,1/I179,K179)</f>
      </c>
    </row>
    <row r="182">
      <c r="A182" t="str">
        <v>═══ RESPONDEN 5: Muhammad ilham ═══</v>
      </c>
    </row>
    <row r="183">
      <c r="A183" t="str">
        <v>Jabatan: Staff Laboratorium Veteriner | Instansi: UPT LVKH Riau (DPKH RIAU)</v>
      </c>
    </row>
    <row r="184">
      <c r="A184" t="str">
        <v>No</v>
      </c>
      <c r="B184" t="str">
        <v>Krit. A</v>
      </c>
      <c r="C184" t="str">
        <v>Krit. B</v>
      </c>
      <c r="D184" t="str">
        <v>Slider</v>
      </c>
      <c r="E184" t="str">
        <v>|Slider|</v>
      </c>
      <c r="F184" t="str">
        <v>absVal</v>
      </c>
      <c r="G184" t="str">
        <v>Arah</v>
      </c>
      <c r="H184" t="str">
        <v>Fuzzy</v>
      </c>
      <c r="I184" t="str">
        <v>l_orig</v>
      </c>
      <c r="J184" t="str">
        <v>m_orig</v>
      </c>
      <c r="K184" t="str">
        <v>u_orig</v>
      </c>
      <c r="L184" t="str">
        <v>TFN_l</v>
      </c>
      <c r="M184" t="str">
        <v>TFN_m</v>
      </c>
      <c r="N184" t="str">
        <v>TFN_u</v>
      </c>
    </row>
    <row r="185">
      <c r="A185">
        <v>1</v>
      </c>
      <c r="B185" t="str">
        <v>CP1</v>
      </c>
      <c r="C185" t="str">
        <v>CP2</v>
      </c>
      <c r="D185">
        <v>5</v>
      </c>
      <c r="E185">
        <v>5</v>
      </c>
      <c r="F185">
        <f>ABS(D185)+1</f>
      </c>
      <c r="G185" t="str">
        <v>→ CP2</v>
      </c>
      <c r="H185" t="str">
        <v>VERY_STRONG</v>
      </c>
      <c r="I185">
        <f>IF(F185=1,1,IF(F185&lt;=3,1,IF(F185&lt;=5,3,IF(F185&lt;=7,5,7))))</f>
      </c>
      <c r="J185">
        <f>IF(F185=1,1,IF(F185&lt;=3,3,IF(F185&lt;=5,5,IF(F185&lt;=7,7,9))))</f>
      </c>
      <c r="K185">
        <f>IF(F185=1,1,IF(F185&lt;=3,5,IF(F185&lt;=5,7,IF(F185&lt;=7,9,9))))</f>
      </c>
      <c r="L185" s="1">
        <f>IF(D185&gt;0,1/K185,I185)</f>
      </c>
      <c r="M185" s="1">
        <f>IF(D185&gt;0,1/J185,J185)</f>
      </c>
      <c r="N185" s="1">
        <f>IF(D185&gt;0,1/I185,K185)</f>
      </c>
    </row>
    <row r="186">
      <c r="A186">
        <v>2</v>
      </c>
      <c r="B186" t="str">
        <v>CP1</v>
      </c>
      <c r="C186" t="str">
        <v>CP3</v>
      </c>
      <c r="D186">
        <v>-5</v>
      </c>
      <c r="E186">
        <v>5</v>
      </c>
      <c r="F186">
        <f>ABS(D186)+1</f>
      </c>
      <c r="G186" t="str">
        <v>← CP1</v>
      </c>
      <c r="H186" t="str">
        <v>VERY_STRONG</v>
      </c>
      <c r="I186">
        <f>IF(F186=1,1,IF(F186&lt;=3,1,IF(F186&lt;=5,3,IF(F186&lt;=7,5,7))))</f>
      </c>
      <c r="J186">
        <f>IF(F186=1,1,IF(F186&lt;=3,3,IF(F186&lt;=5,5,IF(F186&lt;=7,7,9))))</f>
      </c>
      <c r="K186">
        <f>IF(F186=1,1,IF(F186&lt;=3,5,IF(F186&lt;=5,7,IF(F186&lt;=7,9,9))))</f>
      </c>
      <c r="L186" s="1">
        <f>IF(D186&gt;0,1/K186,I186)</f>
      </c>
      <c r="M186" s="1">
        <f>IF(D186&gt;0,1/J186,J186)</f>
      </c>
      <c r="N186" s="1">
        <f>IF(D186&gt;0,1/I186,K186)</f>
      </c>
    </row>
    <row r="187">
      <c r="A187">
        <v>3</v>
      </c>
      <c r="B187" t="str">
        <v>CP1</v>
      </c>
      <c r="C187" t="str">
        <v>CP4</v>
      </c>
      <c r="D187">
        <v>4</v>
      </c>
      <c r="E187">
        <v>4</v>
      </c>
      <c r="F187">
        <f>ABS(D187)+1</f>
      </c>
      <c r="G187" t="str">
        <v>→ CP4</v>
      </c>
      <c r="H187" t="str">
        <v>STRONG</v>
      </c>
      <c r="I187">
        <f>IF(F187=1,1,IF(F187&lt;=3,1,IF(F187&lt;=5,3,IF(F187&lt;=7,5,7))))</f>
      </c>
      <c r="J187">
        <f>IF(F187=1,1,IF(F187&lt;=3,3,IF(F187&lt;=5,5,IF(F187&lt;=7,7,9))))</f>
      </c>
      <c r="K187">
        <f>IF(F187=1,1,IF(F187&lt;=3,5,IF(F187&lt;=5,7,IF(F187&lt;=7,9,9))))</f>
      </c>
      <c r="L187" s="1">
        <f>IF(D187&gt;0,1/K187,I187)</f>
      </c>
      <c r="M187" s="1">
        <f>IF(D187&gt;0,1/J187,J187)</f>
      </c>
      <c r="N187" s="1">
        <f>IF(D187&gt;0,1/I187,K187)</f>
      </c>
    </row>
    <row r="188">
      <c r="A188">
        <v>4</v>
      </c>
      <c r="B188" t="str">
        <v>CP1</v>
      </c>
      <c r="C188" t="str">
        <v>CP5</v>
      </c>
      <c r="D188">
        <v>5</v>
      </c>
      <c r="E188">
        <v>5</v>
      </c>
      <c r="F188">
        <f>ABS(D188)+1</f>
      </c>
      <c r="G188" t="str">
        <v>→ CP5</v>
      </c>
      <c r="H188" t="str">
        <v>VERY_STRONG</v>
      </c>
      <c r="I188">
        <f>IF(F188=1,1,IF(F188&lt;=3,1,IF(F188&lt;=5,3,IF(F188&lt;=7,5,7))))</f>
      </c>
      <c r="J188">
        <f>IF(F188=1,1,IF(F188&lt;=3,3,IF(F188&lt;=5,5,IF(F188&lt;=7,7,9))))</f>
      </c>
      <c r="K188">
        <f>IF(F188=1,1,IF(F188&lt;=3,5,IF(F188&lt;=5,7,IF(F188&lt;=7,9,9))))</f>
      </c>
      <c r="L188" s="1">
        <f>IF(D188&gt;0,1/K188,I188)</f>
      </c>
      <c r="M188" s="1">
        <f>IF(D188&gt;0,1/J188,J188)</f>
      </c>
      <c r="N188" s="1">
        <f>IF(D188&gt;0,1/I188,K188)</f>
      </c>
    </row>
    <row r="189">
      <c r="A189">
        <v>5</v>
      </c>
      <c r="B189" t="str">
        <v>CP1</v>
      </c>
      <c r="C189" t="str">
        <v>CP6</v>
      </c>
      <c r="D189">
        <v>5</v>
      </c>
      <c r="E189">
        <v>5</v>
      </c>
      <c r="F189">
        <f>ABS(D189)+1</f>
      </c>
      <c r="G189" t="str">
        <v>→ CP6</v>
      </c>
      <c r="H189" t="str">
        <v>VERY_STRONG</v>
      </c>
      <c r="I189">
        <f>IF(F189=1,1,IF(F189&lt;=3,1,IF(F189&lt;=5,3,IF(F189&lt;=7,5,7))))</f>
      </c>
      <c r="J189">
        <f>IF(F189=1,1,IF(F189&lt;=3,3,IF(F189&lt;=5,5,IF(F189&lt;=7,7,9))))</f>
      </c>
      <c r="K189">
        <f>IF(F189=1,1,IF(F189&lt;=3,5,IF(F189&lt;=5,7,IF(F189&lt;=7,9,9))))</f>
      </c>
      <c r="L189" s="1">
        <f>IF(D189&gt;0,1/K189,I189)</f>
      </c>
      <c r="M189" s="1">
        <f>IF(D189&gt;0,1/J189,J189)</f>
      </c>
      <c r="N189" s="1">
        <f>IF(D189&gt;0,1/I189,K189)</f>
      </c>
    </row>
    <row r="190">
      <c r="A190">
        <v>6</v>
      </c>
      <c r="B190" t="str">
        <v>CP1</v>
      </c>
      <c r="C190" t="str">
        <v>CP7</v>
      </c>
      <c r="D190">
        <v>5</v>
      </c>
      <c r="E190">
        <v>5</v>
      </c>
      <c r="F190">
        <f>ABS(D190)+1</f>
      </c>
      <c r="G190" t="str">
        <v>→ CP7</v>
      </c>
      <c r="H190" t="str">
        <v>VERY_STRONG</v>
      </c>
      <c r="I190">
        <f>IF(F190=1,1,IF(F190&lt;=3,1,IF(F190&lt;=5,3,IF(F190&lt;=7,5,7))))</f>
      </c>
      <c r="J190">
        <f>IF(F190=1,1,IF(F190&lt;=3,3,IF(F190&lt;=5,5,IF(F190&lt;=7,7,9))))</f>
      </c>
      <c r="K190">
        <f>IF(F190=1,1,IF(F190&lt;=3,5,IF(F190&lt;=5,7,IF(F190&lt;=7,9,9))))</f>
      </c>
      <c r="L190" s="1">
        <f>IF(D190&gt;0,1/K190,I190)</f>
      </c>
      <c r="M190" s="1">
        <f>IF(D190&gt;0,1/J190,J190)</f>
      </c>
      <c r="N190" s="1">
        <f>IF(D190&gt;0,1/I190,K190)</f>
      </c>
    </row>
    <row r="191">
      <c r="A191">
        <v>7</v>
      </c>
      <c r="B191" t="str">
        <v>CP1</v>
      </c>
      <c r="C191" t="str">
        <v>CP8</v>
      </c>
      <c r="D191">
        <v>5</v>
      </c>
      <c r="E191">
        <v>5</v>
      </c>
      <c r="F191">
        <f>ABS(D191)+1</f>
      </c>
      <c r="G191" t="str">
        <v>→ CP8</v>
      </c>
      <c r="H191" t="str">
        <v>VERY_STRONG</v>
      </c>
      <c r="I191">
        <f>IF(F191=1,1,IF(F191&lt;=3,1,IF(F191&lt;=5,3,IF(F191&lt;=7,5,7))))</f>
      </c>
      <c r="J191">
        <f>IF(F191=1,1,IF(F191&lt;=3,3,IF(F191&lt;=5,5,IF(F191&lt;=7,7,9))))</f>
      </c>
      <c r="K191">
        <f>IF(F191=1,1,IF(F191&lt;=3,5,IF(F191&lt;=5,7,IF(F191&lt;=7,9,9))))</f>
      </c>
      <c r="L191" s="1">
        <f>IF(D191&gt;0,1/K191,I191)</f>
      </c>
      <c r="M191" s="1">
        <f>IF(D191&gt;0,1/J191,J191)</f>
      </c>
      <c r="N191" s="1">
        <f>IF(D191&gt;0,1/I191,K191)</f>
      </c>
    </row>
    <row r="192">
      <c r="A192">
        <v>8</v>
      </c>
      <c r="B192" t="str">
        <v>CP1</v>
      </c>
      <c r="C192" t="str">
        <v>CP9</v>
      </c>
      <c r="D192">
        <v>6</v>
      </c>
      <c r="E192">
        <v>6</v>
      </c>
      <c r="F192">
        <f>ABS(D192)+1</f>
      </c>
      <c r="G192" t="str">
        <v>→ CP9</v>
      </c>
      <c r="H192" t="str">
        <v>VERY_STRONG</v>
      </c>
      <c r="I192">
        <f>IF(F192=1,1,IF(F192&lt;=3,1,IF(F192&lt;=5,3,IF(F192&lt;=7,5,7))))</f>
      </c>
      <c r="J192">
        <f>IF(F192=1,1,IF(F192&lt;=3,3,IF(F192&lt;=5,5,IF(F192&lt;=7,7,9))))</f>
      </c>
      <c r="K192">
        <f>IF(F192=1,1,IF(F192&lt;=3,5,IF(F192&lt;=5,7,IF(F192&lt;=7,9,9))))</f>
      </c>
      <c r="L192" s="1">
        <f>IF(D192&gt;0,1/K192,I192)</f>
      </c>
      <c r="M192" s="1">
        <f>IF(D192&gt;0,1/J192,J192)</f>
      </c>
      <c r="N192" s="1">
        <f>IF(D192&gt;0,1/I192,K192)</f>
      </c>
    </row>
    <row r="193">
      <c r="A193">
        <v>9</v>
      </c>
      <c r="B193" t="str">
        <v>CP2</v>
      </c>
      <c r="C193" t="str">
        <v>CP3</v>
      </c>
      <c r="D193">
        <v>-5</v>
      </c>
      <c r="E193">
        <v>5</v>
      </c>
      <c r="F193">
        <f>ABS(D193)+1</f>
      </c>
      <c r="G193" t="str">
        <v>← CP2</v>
      </c>
      <c r="H193" t="str">
        <v>VERY_STRONG</v>
      </c>
      <c r="I193">
        <f>IF(F193=1,1,IF(F193&lt;=3,1,IF(F193&lt;=5,3,IF(F193&lt;=7,5,7))))</f>
      </c>
      <c r="J193">
        <f>IF(F193=1,1,IF(F193&lt;=3,3,IF(F193&lt;=5,5,IF(F193&lt;=7,7,9))))</f>
      </c>
      <c r="K193">
        <f>IF(F193=1,1,IF(F193&lt;=3,5,IF(F193&lt;=5,7,IF(F193&lt;=7,9,9))))</f>
      </c>
      <c r="L193" s="1">
        <f>IF(D193&gt;0,1/K193,I193)</f>
      </c>
      <c r="M193" s="1">
        <f>IF(D193&gt;0,1/J193,J193)</f>
      </c>
      <c r="N193" s="1">
        <f>IF(D193&gt;0,1/I193,K193)</f>
      </c>
    </row>
    <row r="194">
      <c r="A194">
        <v>10</v>
      </c>
      <c r="B194" t="str">
        <v>CP2</v>
      </c>
      <c r="C194" t="str">
        <v>CP4</v>
      </c>
      <c r="D194">
        <v>5</v>
      </c>
      <c r="E194">
        <v>5</v>
      </c>
      <c r="F194">
        <f>ABS(D194)+1</f>
      </c>
      <c r="G194" t="str">
        <v>→ CP4</v>
      </c>
      <c r="H194" t="str">
        <v>VERY_STRONG</v>
      </c>
      <c r="I194">
        <f>IF(F194=1,1,IF(F194&lt;=3,1,IF(F194&lt;=5,3,IF(F194&lt;=7,5,7))))</f>
      </c>
      <c r="J194">
        <f>IF(F194=1,1,IF(F194&lt;=3,3,IF(F194&lt;=5,5,IF(F194&lt;=7,7,9))))</f>
      </c>
      <c r="K194">
        <f>IF(F194=1,1,IF(F194&lt;=3,5,IF(F194&lt;=5,7,IF(F194&lt;=7,9,9))))</f>
      </c>
      <c r="L194" s="1">
        <f>IF(D194&gt;0,1/K194,I194)</f>
      </c>
      <c r="M194" s="1">
        <f>IF(D194&gt;0,1/J194,J194)</f>
      </c>
      <c r="N194" s="1">
        <f>IF(D194&gt;0,1/I194,K194)</f>
      </c>
    </row>
    <row r="195">
      <c r="A195">
        <v>11</v>
      </c>
      <c r="B195" t="str">
        <v>CP2</v>
      </c>
      <c r="C195" t="str">
        <v>CP5</v>
      </c>
      <c r="D195">
        <v>5</v>
      </c>
      <c r="E195">
        <v>5</v>
      </c>
      <c r="F195">
        <f>ABS(D195)+1</f>
      </c>
      <c r="G195" t="str">
        <v>→ CP5</v>
      </c>
      <c r="H195" t="str">
        <v>VERY_STRONG</v>
      </c>
      <c r="I195">
        <f>IF(F195=1,1,IF(F195&lt;=3,1,IF(F195&lt;=5,3,IF(F195&lt;=7,5,7))))</f>
      </c>
      <c r="J195">
        <f>IF(F195=1,1,IF(F195&lt;=3,3,IF(F195&lt;=5,5,IF(F195&lt;=7,7,9))))</f>
      </c>
      <c r="K195">
        <f>IF(F195=1,1,IF(F195&lt;=3,5,IF(F195&lt;=5,7,IF(F195&lt;=7,9,9))))</f>
      </c>
      <c r="L195" s="1">
        <f>IF(D195&gt;0,1/K195,I195)</f>
      </c>
      <c r="M195" s="1">
        <f>IF(D195&gt;0,1/J195,J195)</f>
      </c>
      <c r="N195" s="1">
        <f>IF(D195&gt;0,1/I195,K195)</f>
      </c>
    </row>
    <row r="196">
      <c r="A196">
        <v>12</v>
      </c>
      <c r="B196" t="str">
        <v>CP2</v>
      </c>
      <c r="C196" t="str">
        <v>CP6</v>
      </c>
      <c r="D196">
        <v>5</v>
      </c>
      <c r="E196">
        <v>5</v>
      </c>
      <c r="F196">
        <f>ABS(D196)+1</f>
      </c>
      <c r="G196" t="str">
        <v>→ CP6</v>
      </c>
      <c r="H196" t="str">
        <v>VERY_STRONG</v>
      </c>
      <c r="I196">
        <f>IF(F196=1,1,IF(F196&lt;=3,1,IF(F196&lt;=5,3,IF(F196&lt;=7,5,7))))</f>
      </c>
      <c r="J196">
        <f>IF(F196=1,1,IF(F196&lt;=3,3,IF(F196&lt;=5,5,IF(F196&lt;=7,7,9))))</f>
      </c>
      <c r="K196">
        <f>IF(F196=1,1,IF(F196&lt;=3,5,IF(F196&lt;=5,7,IF(F196&lt;=7,9,9))))</f>
      </c>
      <c r="L196" s="1">
        <f>IF(D196&gt;0,1/K196,I196)</f>
      </c>
      <c r="M196" s="1">
        <f>IF(D196&gt;0,1/J196,J196)</f>
      </c>
      <c r="N196" s="1">
        <f>IF(D196&gt;0,1/I196,K196)</f>
      </c>
    </row>
    <row r="197">
      <c r="A197">
        <v>13</v>
      </c>
      <c r="B197" t="str">
        <v>CP2</v>
      </c>
      <c r="C197" t="str">
        <v>CP7</v>
      </c>
      <c r="D197">
        <v>7</v>
      </c>
      <c r="E197">
        <v>7</v>
      </c>
      <c r="F197">
        <f>ABS(D197)+1</f>
      </c>
      <c r="G197" t="str">
        <v>→ CP7</v>
      </c>
      <c r="H197" t="str">
        <v>EXTREME</v>
      </c>
      <c r="I197">
        <f>IF(F197=1,1,IF(F197&lt;=3,1,IF(F197&lt;=5,3,IF(F197&lt;=7,5,7))))</f>
      </c>
      <c r="J197">
        <f>IF(F197=1,1,IF(F197&lt;=3,3,IF(F197&lt;=5,5,IF(F197&lt;=7,7,9))))</f>
      </c>
      <c r="K197">
        <f>IF(F197=1,1,IF(F197&lt;=3,5,IF(F197&lt;=5,7,IF(F197&lt;=7,9,9))))</f>
      </c>
      <c r="L197" s="1">
        <f>IF(D197&gt;0,1/K197,I197)</f>
      </c>
      <c r="M197" s="1">
        <f>IF(D197&gt;0,1/J197,J197)</f>
      </c>
      <c r="N197" s="1">
        <f>IF(D197&gt;0,1/I197,K197)</f>
      </c>
    </row>
    <row r="198">
      <c r="A198">
        <v>14</v>
      </c>
      <c r="B198" t="str">
        <v>CP2</v>
      </c>
      <c r="C198" t="str">
        <v>CP8</v>
      </c>
      <c r="D198">
        <v>-2</v>
      </c>
      <c r="E198">
        <v>2</v>
      </c>
      <c r="F198">
        <f>ABS(D198)+1</f>
      </c>
      <c r="G198" t="str">
        <v>← CP2</v>
      </c>
      <c r="H198" t="str">
        <v>MODERATE</v>
      </c>
      <c r="I198">
        <f>IF(F198=1,1,IF(F198&lt;=3,1,IF(F198&lt;=5,3,IF(F198&lt;=7,5,7))))</f>
      </c>
      <c r="J198">
        <f>IF(F198=1,1,IF(F198&lt;=3,3,IF(F198&lt;=5,5,IF(F198&lt;=7,7,9))))</f>
      </c>
      <c r="K198">
        <f>IF(F198=1,1,IF(F198&lt;=3,5,IF(F198&lt;=5,7,IF(F198&lt;=7,9,9))))</f>
      </c>
      <c r="L198" s="1">
        <f>IF(D198&gt;0,1/K198,I198)</f>
      </c>
      <c r="M198" s="1">
        <f>IF(D198&gt;0,1/J198,J198)</f>
      </c>
      <c r="N198" s="1">
        <f>IF(D198&gt;0,1/I198,K198)</f>
      </c>
    </row>
    <row r="199">
      <c r="A199">
        <v>15</v>
      </c>
      <c r="B199" t="str">
        <v>CP2</v>
      </c>
      <c r="C199" t="str">
        <v>CP9</v>
      </c>
      <c r="D199">
        <v>5</v>
      </c>
      <c r="E199">
        <v>5</v>
      </c>
      <c r="F199">
        <f>ABS(D199)+1</f>
      </c>
      <c r="G199" t="str">
        <v>→ CP9</v>
      </c>
      <c r="H199" t="str">
        <v>VERY_STRONG</v>
      </c>
      <c r="I199">
        <f>IF(F199=1,1,IF(F199&lt;=3,1,IF(F199&lt;=5,3,IF(F199&lt;=7,5,7))))</f>
      </c>
      <c r="J199">
        <f>IF(F199=1,1,IF(F199&lt;=3,3,IF(F199&lt;=5,5,IF(F199&lt;=7,7,9))))</f>
      </c>
      <c r="K199">
        <f>IF(F199=1,1,IF(F199&lt;=3,5,IF(F199&lt;=5,7,IF(F199&lt;=7,9,9))))</f>
      </c>
      <c r="L199" s="1">
        <f>IF(D199&gt;0,1/K199,I199)</f>
      </c>
      <c r="M199" s="1">
        <f>IF(D199&gt;0,1/J199,J199)</f>
      </c>
      <c r="N199" s="1">
        <f>IF(D199&gt;0,1/I199,K199)</f>
      </c>
    </row>
    <row r="200">
      <c r="A200">
        <v>16</v>
      </c>
      <c r="B200" t="str">
        <v>CP3</v>
      </c>
      <c r="C200" t="str">
        <v>CP4</v>
      </c>
      <c r="D200">
        <v>5</v>
      </c>
      <c r="E200">
        <v>5</v>
      </c>
      <c r="F200">
        <f>ABS(D200)+1</f>
      </c>
      <c r="G200" t="str">
        <v>→ CP4</v>
      </c>
      <c r="H200" t="str">
        <v>VERY_STRONG</v>
      </c>
      <c r="I200">
        <f>IF(F200=1,1,IF(F200&lt;=3,1,IF(F200&lt;=5,3,IF(F200&lt;=7,5,7))))</f>
      </c>
      <c r="J200">
        <f>IF(F200=1,1,IF(F200&lt;=3,3,IF(F200&lt;=5,5,IF(F200&lt;=7,7,9))))</f>
      </c>
      <c r="K200">
        <f>IF(F200=1,1,IF(F200&lt;=3,5,IF(F200&lt;=5,7,IF(F200&lt;=7,9,9))))</f>
      </c>
      <c r="L200" s="1">
        <f>IF(D200&gt;0,1/K200,I200)</f>
      </c>
      <c r="M200" s="1">
        <f>IF(D200&gt;0,1/J200,J200)</f>
      </c>
      <c r="N200" s="1">
        <f>IF(D200&gt;0,1/I200,K200)</f>
      </c>
    </row>
    <row r="201">
      <c r="A201">
        <v>17</v>
      </c>
      <c r="B201" t="str">
        <v>CP3</v>
      </c>
      <c r="C201" t="str">
        <v>CP5</v>
      </c>
      <c r="D201">
        <v>4</v>
      </c>
      <c r="E201">
        <v>4</v>
      </c>
      <c r="F201">
        <f>ABS(D201)+1</f>
      </c>
      <c r="G201" t="str">
        <v>→ CP5</v>
      </c>
      <c r="H201" t="str">
        <v>STRONG</v>
      </c>
      <c r="I201">
        <f>IF(F201=1,1,IF(F201&lt;=3,1,IF(F201&lt;=5,3,IF(F201&lt;=7,5,7))))</f>
      </c>
      <c r="J201">
        <f>IF(F201=1,1,IF(F201&lt;=3,3,IF(F201&lt;=5,5,IF(F201&lt;=7,7,9))))</f>
      </c>
      <c r="K201">
        <f>IF(F201=1,1,IF(F201&lt;=3,5,IF(F201&lt;=5,7,IF(F201&lt;=7,9,9))))</f>
      </c>
      <c r="L201" s="1">
        <f>IF(D201&gt;0,1/K201,I201)</f>
      </c>
      <c r="M201" s="1">
        <f>IF(D201&gt;0,1/J201,J201)</f>
      </c>
      <c r="N201" s="1">
        <f>IF(D201&gt;0,1/I201,K201)</f>
      </c>
    </row>
    <row r="202">
      <c r="A202">
        <v>18</v>
      </c>
      <c r="B202" t="str">
        <v>CP3</v>
      </c>
      <c r="C202" t="str">
        <v>CP6</v>
      </c>
      <c r="D202">
        <v>5</v>
      </c>
      <c r="E202">
        <v>5</v>
      </c>
      <c r="F202">
        <f>ABS(D202)+1</f>
      </c>
      <c r="G202" t="str">
        <v>→ CP6</v>
      </c>
      <c r="H202" t="str">
        <v>VERY_STRONG</v>
      </c>
      <c r="I202">
        <f>IF(F202=1,1,IF(F202&lt;=3,1,IF(F202&lt;=5,3,IF(F202&lt;=7,5,7))))</f>
      </c>
      <c r="J202">
        <f>IF(F202=1,1,IF(F202&lt;=3,3,IF(F202&lt;=5,5,IF(F202&lt;=7,7,9))))</f>
      </c>
      <c r="K202">
        <f>IF(F202=1,1,IF(F202&lt;=3,5,IF(F202&lt;=5,7,IF(F202&lt;=7,9,9))))</f>
      </c>
      <c r="L202" s="1">
        <f>IF(D202&gt;0,1/K202,I202)</f>
      </c>
      <c r="M202" s="1">
        <f>IF(D202&gt;0,1/J202,J202)</f>
      </c>
      <c r="N202" s="1">
        <f>IF(D202&gt;0,1/I202,K202)</f>
      </c>
    </row>
    <row r="203">
      <c r="A203">
        <v>19</v>
      </c>
      <c r="B203" t="str">
        <v>CP3</v>
      </c>
      <c r="C203" t="str">
        <v>CP7</v>
      </c>
      <c r="D203">
        <v>4</v>
      </c>
      <c r="E203">
        <v>4</v>
      </c>
      <c r="F203">
        <f>ABS(D203)+1</f>
      </c>
      <c r="G203" t="str">
        <v>→ CP7</v>
      </c>
      <c r="H203" t="str">
        <v>STRONG</v>
      </c>
      <c r="I203">
        <f>IF(F203=1,1,IF(F203&lt;=3,1,IF(F203&lt;=5,3,IF(F203&lt;=7,5,7))))</f>
      </c>
      <c r="J203">
        <f>IF(F203=1,1,IF(F203&lt;=3,3,IF(F203&lt;=5,5,IF(F203&lt;=7,7,9))))</f>
      </c>
      <c r="K203">
        <f>IF(F203=1,1,IF(F203&lt;=3,5,IF(F203&lt;=5,7,IF(F203&lt;=7,9,9))))</f>
      </c>
      <c r="L203" s="1">
        <f>IF(D203&gt;0,1/K203,I203)</f>
      </c>
      <c r="M203" s="1">
        <f>IF(D203&gt;0,1/J203,J203)</f>
      </c>
      <c r="N203" s="1">
        <f>IF(D203&gt;0,1/I203,K203)</f>
      </c>
    </row>
    <row r="204">
      <c r="A204">
        <v>20</v>
      </c>
      <c r="B204" t="str">
        <v>CP3</v>
      </c>
      <c r="C204" t="str">
        <v>CP8</v>
      </c>
      <c r="D204">
        <v>3</v>
      </c>
      <c r="E204">
        <v>3</v>
      </c>
      <c r="F204">
        <f>ABS(D204)+1</f>
      </c>
      <c r="G204" t="str">
        <v>→ CP8</v>
      </c>
      <c r="H204" t="str">
        <v>STRONG</v>
      </c>
      <c r="I204">
        <f>IF(F204=1,1,IF(F204&lt;=3,1,IF(F204&lt;=5,3,IF(F204&lt;=7,5,7))))</f>
      </c>
      <c r="J204">
        <f>IF(F204=1,1,IF(F204&lt;=3,3,IF(F204&lt;=5,5,IF(F204&lt;=7,7,9))))</f>
      </c>
      <c r="K204">
        <f>IF(F204=1,1,IF(F204&lt;=3,5,IF(F204&lt;=5,7,IF(F204&lt;=7,9,9))))</f>
      </c>
      <c r="L204" s="1">
        <f>IF(D204&gt;0,1/K204,I204)</f>
      </c>
      <c r="M204" s="1">
        <f>IF(D204&gt;0,1/J204,J204)</f>
      </c>
      <c r="N204" s="1">
        <f>IF(D204&gt;0,1/I204,K204)</f>
      </c>
    </row>
    <row r="205">
      <c r="A205">
        <v>21</v>
      </c>
      <c r="B205" t="str">
        <v>CP3</v>
      </c>
      <c r="C205" t="str">
        <v>CP9</v>
      </c>
      <c r="D205">
        <v>4</v>
      </c>
      <c r="E205">
        <v>4</v>
      </c>
      <c r="F205">
        <f>ABS(D205)+1</f>
      </c>
      <c r="G205" t="str">
        <v>→ CP9</v>
      </c>
      <c r="H205" t="str">
        <v>STRONG</v>
      </c>
      <c r="I205">
        <f>IF(F205=1,1,IF(F205&lt;=3,1,IF(F205&lt;=5,3,IF(F205&lt;=7,5,7))))</f>
      </c>
      <c r="J205">
        <f>IF(F205=1,1,IF(F205&lt;=3,3,IF(F205&lt;=5,5,IF(F205&lt;=7,7,9))))</f>
      </c>
      <c r="K205">
        <f>IF(F205=1,1,IF(F205&lt;=3,5,IF(F205&lt;=5,7,IF(F205&lt;=7,9,9))))</f>
      </c>
      <c r="L205" s="1">
        <f>IF(D205&gt;0,1/K205,I205)</f>
      </c>
      <c r="M205" s="1">
        <f>IF(D205&gt;0,1/J205,J205)</f>
      </c>
      <c r="N205" s="1">
        <f>IF(D205&gt;0,1/I205,K205)</f>
      </c>
    </row>
    <row r="206">
      <c r="A206">
        <v>22</v>
      </c>
      <c r="B206" t="str">
        <v>CP4</v>
      </c>
      <c r="C206" t="str">
        <v>CP5</v>
      </c>
      <c r="D206">
        <v>-6</v>
      </c>
      <c r="E206">
        <v>6</v>
      </c>
      <c r="F206">
        <f>ABS(D206)+1</f>
      </c>
      <c r="G206" t="str">
        <v>← CP4</v>
      </c>
      <c r="H206" t="str">
        <v>VERY_STRONG</v>
      </c>
      <c r="I206">
        <f>IF(F206=1,1,IF(F206&lt;=3,1,IF(F206&lt;=5,3,IF(F206&lt;=7,5,7))))</f>
      </c>
      <c r="J206">
        <f>IF(F206=1,1,IF(F206&lt;=3,3,IF(F206&lt;=5,5,IF(F206&lt;=7,7,9))))</f>
      </c>
      <c r="K206">
        <f>IF(F206=1,1,IF(F206&lt;=3,5,IF(F206&lt;=5,7,IF(F206&lt;=7,9,9))))</f>
      </c>
      <c r="L206" s="1">
        <f>IF(D206&gt;0,1/K206,I206)</f>
      </c>
      <c r="M206" s="1">
        <f>IF(D206&gt;0,1/J206,J206)</f>
      </c>
      <c r="N206" s="1">
        <f>IF(D206&gt;0,1/I206,K206)</f>
      </c>
    </row>
    <row r="207">
      <c r="A207">
        <v>23</v>
      </c>
      <c r="B207" t="str">
        <v>CP4</v>
      </c>
      <c r="C207" t="str">
        <v>CP6</v>
      </c>
      <c r="D207">
        <v>-3</v>
      </c>
      <c r="E207">
        <v>3</v>
      </c>
      <c r="F207">
        <f>ABS(D207)+1</f>
      </c>
      <c r="G207" t="str">
        <v>← CP4</v>
      </c>
      <c r="H207" t="str">
        <v>STRONG</v>
      </c>
      <c r="I207">
        <f>IF(F207=1,1,IF(F207&lt;=3,1,IF(F207&lt;=5,3,IF(F207&lt;=7,5,7))))</f>
      </c>
      <c r="J207">
        <f>IF(F207=1,1,IF(F207&lt;=3,3,IF(F207&lt;=5,5,IF(F207&lt;=7,7,9))))</f>
      </c>
      <c r="K207">
        <f>IF(F207=1,1,IF(F207&lt;=3,5,IF(F207&lt;=5,7,IF(F207&lt;=7,9,9))))</f>
      </c>
      <c r="L207" s="1">
        <f>IF(D207&gt;0,1/K207,I207)</f>
      </c>
      <c r="M207" s="1">
        <f>IF(D207&gt;0,1/J207,J207)</f>
      </c>
      <c r="N207" s="1">
        <f>IF(D207&gt;0,1/I207,K207)</f>
      </c>
    </row>
    <row r="208">
      <c r="A208">
        <v>24</v>
      </c>
      <c r="B208" t="str">
        <v>CP4</v>
      </c>
      <c r="C208" t="str">
        <v>CP7</v>
      </c>
      <c r="D208">
        <v>-5</v>
      </c>
      <c r="E208">
        <v>5</v>
      </c>
      <c r="F208">
        <f>ABS(D208)+1</f>
      </c>
      <c r="G208" t="str">
        <v>← CP4</v>
      </c>
      <c r="H208" t="str">
        <v>VERY_STRONG</v>
      </c>
      <c r="I208">
        <f>IF(F208=1,1,IF(F208&lt;=3,1,IF(F208&lt;=5,3,IF(F208&lt;=7,5,7))))</f>
      </c>
      <c r="J208">
        <f>IF(F208=1,1,IF(F208&lt;=3,3,IF(F208&lt;=5,5,IF(F208&lt;=7,7,9))))</f>
      </c>
      <c r="K208">
        <f>IF(F208=1,1,IF(F208&lt;=3,5,IF(F208&lt;=5,7,IF(F208&lt;=7,9,9))))</f>
      </c>
      <c r="L208" s="1">
        <f>IF(D208&gt;0,1/K208,I208)</f>
      </c>
      <c r="M208" s="1">
        <f>IF(D208&gt;0,1/J208,J208)</f>
      </c>
      <c r="N208" s="1">
        <f>IF(D208&gt;0,1/I208,K208)</f>
      </c>
    </row>
    <row r="209">
      <c r="A209">
        <v>25</v>
      </c>
      <c r="B209" t="str">
        <v>CP4</v>
      </c>
      <c r="C209" t="str">
        <v>CP8</v>
      </c>
      <c r="D209">
        <v>-4</v>
      </c>
      <c r="E209">
        <v>4</v>
      </c>
      <c r="F209">
        <f>ABS(D209)+1</f>
      </c>
      <c r="G209" t="str">
        <v>← CP4</v>
      </c>
      <c r="H209" t="str">
        <v>STRONG</v>
      </c>
      <c r="I209">
        <f>IF(F209=1,1,IF(F209&lt;=3,1,IF(F209&lt;=5,3,IF(F209&lt;=7,5,7))))</f>
      </c>
      <c r="J209">
        <f>IF(F209=1,1,IF(F209&lt;=3,3,IF(F209&lt;=5,5,IF(F209&lt;=7,7,9))))</f>
      </c>
      <c r="K209">
        <f>IF(F209=1,1,IF(F209&lt;=3,5,IF(F209&lt;=5,7,IF(F209&lt;=7,9,9))))</f>
      </c>
      <c r="L209" s="1">
        <f>IF(D209&gt;0,1/K209,I209)</f>
      </c>
      <c r="M209" s="1">
        <f>IF(D209&gt;0,1/J209,J209)</f>
      </c>
      <c r="N209" s="1">
        <f>IF(D209&gt;0,1/I209,K209)</f>
      </c>
    </row>
    <row r="210">
      <c r="A210">
        <v>26</v>
      </c>
      <c r="B210" t="str">
        <v>CP4</v>
      </c>
      <c r="C210" t="str">
        <v>CP9</v>
      </c>
      <c r="D210">
        <v>-7</v>
      </c>
      <c r="E210">
        <v>7</v>
      </c>
      <c r="F210">
        <f>ABS(D210)+1</f>
      </c>
      <c r="G210" t="str">
        <v>← CP4</v>
      </c>
      <c r="H210" t="str">
        <v>EXTREME</v>
      </c>
      <c r="I210">
        <f>IF(F210=1,1,IF(F210&lt;=3,1,IF(F210&lt;=5,3,IF(F210&lt;=7,5,7))))</f>
      </c>
      <c r="J210">
        <f>IF(F210=1,1,IF(F210&lt;=3,3,IF(F210&lt;=5,5,IF(F210&lt;=7,7,9))))</f>
      </c>
      <c r="K210">
        <f>IF(F210=1,1,IF(F210&lt;=3,5,IF(F210&lt;=5,7,IF(F210&lt;=7,9,9))))</f>
      </c>
      <c r="L210" s="1">
        <f>IF(D210&gt;0,1/K210,I210)</f>
      </c>
      <c r="M210" s="1">
        <f>IF(D210&gt;0,1/J210,J210)</f>
      </c>
      <c r="N210" s="1">
        <f>IF(D210&gt;0,1/I210,K210)</f>
      </c>
    </row>
    <row r="211">
      <c r="A211">
        <v>27</v>
      </c>
      <c r="B211" t="str">
        <v>CP5</v>
      </c>
      <c r="C211" t="str">
        <v>CP6</v>
      </c>
      <c r="D211">
        <v>2</v>
      </c>
      <c r="E211">
        <v>2</v>
      </c>
      <c r="F211">
        <f>ABS(D211)+1</f>
      </c>
      <c r="G211" t="str">
        <v>→ CP6</v>
      </c>
      <c r="H211" t="str">
        <v>MODERATE</v>
      </c>
      <c r="I211">
        <f>IF(F211=1,1,IF(F211&lt;=3,1,IF(F211&lt;=5,3,IF(F211&lt;=7,5,7))))</f>
      </c>
      <c r="J211">
        <f>IF(F211=1,1,IF(F211&lt;=3,3,IF(F211&lt;=5,5,IF(F211&lt;=7,7,9))))</f>
      </c>
      <c r="K211">
        <f>IF(F211=1,1,IF(F211&lt;=3,5,IF(F211&lt;=5,7,IF(F211&lt;=7,9,9))))</f>
      </c>
      <c r="L211" s="1">
        <f>IF(D211&gt;0,1/K211,I211)</f>
      </c>
      <c r="M211" s="1">
        <f>IF(D211&gt;0,1/J211,J211)</f>
      </c>
      <c r="N211" s="1">
        <f>IF(D211&gt;0,1/I211,K211)</f>
      </c>
    </row>
    <row r="212">
      <c r="A212">
        <v>28</v>
      </c>
      <c r="B212" t="str">
        <v>CP5</v>
      </c>
      <c r="C212" t="str">
        <v>CP7</v>
      </c>
      <c r="D212">
        <v>-4</v>
      </c>
      <c r="E212">
        <v>4</v>
      </c>
      <c r="F212">
        <f>ABS(D212)+1</f>
      </c>
      <c r="G212" t="str">
        <v>← CP5</v>
      </c>
      <c r="H212" t="str">
        <v>STRONG</v>
      </c>
      <c r="I212">
        <f>IF(F212=1,1,IF(F212&lt;=3,1,IF(F212&lt;=5,3,IF(F212&lt;=7,5,7))))</f>
      </c>
      <c r="J212">
        <f>IF(F212=1,1,IF(F212&lt;=3,3,IF(F212&lt;=5,5,IF(F212&lt;=7,7,9))))</f>
      </c>
      <c r="K212">
        <f>IF(F212=1,1,IF(F212&lt;=3,5,IF(F212&lt;=5,7,IF(F212&lt;=7,9,9))))</f>
      </c>
      <c r="L212" s="1">
        <f>IF(D212&gt;0,1/K212,I212)</f>
      </c>
      <c r="M212" s="1">
        <f>IF(D212&gt;0,1/J212,J212)</f>
      </c>
      <c r="N212" s="1">
        <f>IF(D212&gt;0,1/I212,K212)</f>
      </c>
    </row>
    <row r="213">
      <c r="A213">
        <v>29</v>
      </c>
      <c r="B213" t="str">
        <v>CP5</v>
      </c>
      <c r="C213" t="str">
        <v>CP8</v>
      </c>
      <c r="D213">
        <v>-4</v>
      </c>
      <c r="E213">
        <v>4</v>
      </c>
      <c r="F213">
        <f>ABS(D213)+1</f>
      </c>
      <c r="G213" t="str">
        <v>← CP5</v>
      </c>
      <c r="H213" t="str">
        <v>STRONG</v>
      </c>
      <c r="I213">
        <f>IF(F213=1,1,IF(F213&lt;=3,1,IF(F213&lt;=5,3,IF(F213&lt;=7,5,7))))</f>
      </c>
      <c r="J213">
        <f>IF(F213=1,1,IF(F213&lt;=3,3,IF(F213&lt;=5,5,IF(F213&lt;=7,7,9))))</f>
      </c>
      <c r="K213">
        <f>IF(F213=1,1,IF(F213&lt;=3,5,IF(F213&lt;=5,7,IF(F213&lt;=7,9,9))))</f>
      </c>
      <c r="L213" s="1">
        <f>IF(D213&gt;0,1/K213,I213)</f>
      </c>
      <c r="M213" s="1">
        <f>IF(D213&gt;0,1/J213,J213)</f>
      </c>
      <c r="N213" s="1">
        <f>IF(D213&gt;0,1/I213,K213)</f>
      </c>
    </row>
    <row r="214">
      <c r="A214">
        <v>30</v>
      </c>
      <c r="B214" t="str">
        <v>CP5</v>
      </c>
      <c r="C214" t="str">
        <v>CP9</v>
      </c>
      <c r="D214">
        <v>-6</v>
      </c>
      <c r="E214">
        <v>6</v>
      </c>
      <c r="F214">
        <f>ABS(D214)+1</f>
      </c>
      <c r="G214" t="str">
        <v>← CP5</v>
      </c>
      <c r="H214" t="str">
        <v>VERY_STRONG</v>
      </c>
      <c r="I214">
        <f>IF(F214=1,1,IF(F214&lt;=3,1,IF(F214&lt;=5,3,IF(F214&lt;=7,5,7))))</f>
      </c>
      <c r="J214">
        <f>IF(F214=1,1,IF(F214&lt;=3,3,IF(F214&lt;=5,5,IF(F214&lt;=7,7,9))))</f>
      </c>
      <c r="K214">
        <f>IF(F214=1,1,IF(F214&lt;=3,5,IF(F214&lt;=5,7,IF(F214&lt;=7,9,9))))</f>
      </c>
      <c r="L214" s="1">
        <f>IF(D214&gt;0,1/K214,I214)</f>
      </c>
      <c r="M214" s="1">
        <f>IF(D214&gt;0,1/J214,J214)</f>
      </c>
      <c r="N214" s="1">
        <f>IF(D214&gt;0,1/I214,K214)</f>
      </c>
    </row>
    <row r="215">
      <c r="A215">
        <v>31</v>
      </c>
      <c r="B215" t="str">
        <v>CP6</v>
      </c>
      <c r="C215" t="str">
        <v>CP7</v>
      </c>
      <c r="D215">
        <v>-5</v>
      </c>
      <c r="E215">
        <v>5</v>
      </c>
      <c r="F215">
        <f>ABS(D215)+1</f>
      </c>
      <c r="G215" t="str">
        <v>← CP6</v>
      </c>
      <c r="H215" t="str">
        <v>VERY_STRONG</v>
      </c>
      <c r="I215">
        <f>IF(F215=1,1,IF(F215&lt;=3,1,IF(F215&lt;=5,3,IF(F215&lt;=7,5,7))))</f>
      </c>
      <c r="J215">
        <f>IF(F215=1,1,IF(F215&lt;=3,3,IF(F215&lt;=5,5,IF(F215&lt;=7,7,9))))</f>
      </c>
      <c r="K215">
        <f>IF(F215=1,1,IF(F215&lt;=3,5,IF(F215&lt;=5,7,IF(F215&lt;=7,9,9))))</f>
      </c>
      <c r="L215" s="1">
        <f>IF(D215&gt;0,1/K215,I215)</f>
      </c>
      <c r="M215" s="1">
        <f>IF(D215&gt;0,1/J215,J215)</f>
      </c>
      <c r="N215" s="1">
        <f>IF(D215&gt;0,1/I215,K215)</f>
      </c>
    </row>
    <row r="216">
      <c r="A216">
        <v>32</v>
      </c>
      <c r="B216" t="str">
        <v>CP6</v>
      </c>
      <c r="C216" t="str">
        <v>CP8</v>
      </c>
      <c r="D216">
        <v>-6</v>
      </c>
      <c r="E216">
        <v>6</v>
      </c>
      <c r="F216">
        <f>ABS(D216)+1</f>
      </c>
      <c r="G216" t="str">
        <v>← CP6</v>
      </c>
      <c r="H216" t="str">
        <v>VERY_STRONG</v>
      </c>
      <c r="I216">
        <f>IF(F216=1,1,IF(F216&lt;=3,1,IF(F216&lt;=5,3,IF(F216&lt;=7,5,7))))</f>
      </c>
      <c r="J216">
        <f>IF(F216=1,1,IF(F216&lt;=3,3,IF(F216&lt;=5,5,IF(F216&lt;=7,7,9))))</f>
      </c>
      <c r="K216">
        <f>IF(F216=1,1,IF(F216&lt;=3,5,IF(F216&lt;=5,7,IF(F216&lt;=7,9,9))))</f>
      </c>
      <c r="L216" s="1">
        <f>IF(D216&gt;0,1/K216,I216)</f>
      </c>
      <c r="M216" s="1">
        <f>IF(D216&gt;0,1/J216,J216)</f>
      </c>
      <c r="N216" s="1">
        <f>IF(D216&gt;0,1/I216,K216)</f>
      </c>
    </row>
    <row r="217">
      <c r="A217">
        <v>33</v>
      </c>
      <c r="B217" t="str">
        <v>CP6</v>
      </c>
      <c r="C217" t="str">
        <v>CP9</v>
      </c>
      <c r="D217">
        <v>-4</v>
      </c>
      <c r="E217">
        <v>4</v>
      </c>
      <c r="F217">
        <f>ABS(D217)+1</f>
      </c>
      <c r="G217" t="str">
        <v>← CP6</v>
      </c>
      <c r="H217" t="str">
        <v>STRONG</v>
      </c>
      <c r="I217">
        <f>IF(F217=1,1,IF(F217&lt;=3,1,IF(F217&lt;=5,3,IF(F217&lt;=7,5,7))))</f>
      </c>
      <c r="J217">
        <f>IF(F217=1,1,IF(F217&lt;=3,3,IF(F217&lt;=5,5,IF(F217&lt;=7,7,9))))</f>
      </c>
      <c r="K217">
        <f>IF(F217=1,1,IF(F217&lt;=3,5,IF(F217&lt;=5,7,IF(F217&lt;=7,9,9))))</f>
      </c>
      <c r="L217" s="1">
        <f>IF(D217&gt;0,1/K217,I217)</f>
      </c>
      <c r="M217" s="1">
        <f>IF(D217&gt;0,1/J217,J217)</f>
      </c>
      <c r="N217" s="1">
        <f>IF(D217&gt;0,1/I217,K217)</f>
      </c>
    </row>
    <row r="218">
      <c r="A218">
        <v>34</v>
      </c>
      <c r="B218" t="str">
        <v>CP7</v>
      </c>
      <c r="C218" t="str">
        <v>CP8</v>
      </c>
      <c r="D218">
        <v>-5</v>
      </c>
      <c r="E218">
        <v>5</v>
      </c>
      <c r="F218">
        <f>ABS(D218)+1</f>
      </c>
      <c r="G218" t="str">
        <v>← CP7</v>
      </c>
      <c r="H218" t="str">
        <v>VERY_STRONG</v>
      </c>
      <c r="I218">
        <f>IF(F218=1,1,IF(F218&lt;=3,1,IF(F218&lt;=5,3,IF(F218&lt;=7,5,7))))</f>
      </c>
      <c r="J218">
        <f>IF(F218=1,1,IF(F218&lt;=3,3,IF(F218&lt;=5,5,IF(F218&lt;=7,7,9))))</f>
      </c>
      <c r="K218">
        <f>IF(F218=1,1,IF(F218&lt;=3,5,IF(F218&lt;=5,7,IF(F218&lt;=7,9,9))))</f>
      </c>
      <c r="L218" s="1">
        <f>IF(D218&gt;0,1/K218,I218)</f>
      </c>
      <c r="M218" s="1">
        <f>IF(D218&gt;0,1/J218,J218)</f>
      </c>
      <c r="N218" s="1">
        <f>IF(D218&gt;0,1/I218,K218)</f>
      </c>
    </row>
    <row r="219">
      <c r="A219">
        <v>35</v>
      </c>
      <c r="B219" t="str">
        <v>CP7</v>
      </c>
      <c r="C219" t="str">
        <v>CP9</v>
      </c>
      <c r="D219">
        <v>2</v>
      </c>
      <c r="E219">
        <v>2</v>
      </c>
      <c r="F219">
        <f>ABS(D219)+1</f>
      </c>
      <c r="G219" t="str">
        <v>→ CP9</v>
      </c>
      <c r="H219" t="str">
        <v>MODERATE</v>
      </c>
      <c r="I219">
        <f>IF(F219=1,1,IF(F219&lt;=3,1,IF(F219&lt;=5,3,IF(F219&lt;=7,5,7))))</f>
      </c>
      <c r="J219">
        <f>IF(F219=1,1,IF(F219&lt;=3,3,IF(F219&lt;=5,5,IF(F219&lt;=7,7,9))))</f>
      </c>
      <c r="K219">
        <f>IF(F219=1,1,IF(F219&lt;=3,5,IF(F219&lt;=5,7,IF(F219&lt;=7,9,9))))</f>
      </c>
      <c r="L219" s="1">
        <f>IF(D219&gt;0,1/K219,I219)</f>
      </c>
      <c r="M219" s="1">
        <f>IF(D219&gt;0,1/J219,J219)</f>
      </c>
      <c r="N219" s="1">
        <f>IF(D219&gt;0,1/I219,K219)</f>
      </c>
    </row>
    <row r="220">
      <c r="A220">
        <v>36</v>
      </c>
      <c r="B220" t="str">
        <v>CP8</v>
      </c>
      <c r="C220" t="str">
        <v>CP9</v>
      </c>
      <c r="D220">
        <v>3</v>
      </c>
      <c r="E220">
        <v>3</v>
      </c>
      <c r="F220">
        <f>ABS(D220)+1</f>
      </c>
      <c r="G220" t="str">
        <v>→ CP9</v>
      </c>
      <c r="H220" t="str">
        <v>STRONG</v>
      </c>
      <c r="I220">
        <f>IF(F220=1,1,IF(F220&lt;=3,1,IF(F220&lt;=5,3,IF(F220&lt;=7,5,7))))</f>
      </c>
      <c r="J220">
        <f>IF(F220=1,1,IF(F220&lt;=3,3,IF(F220&lt;=5,5,IF(F220&lt;=7,7,9))))</f>
      </c>
      <c r="K220">
        <f>IF(F220=1,1,IF(F220&lt;=3,5,IF(F220&lt;=5,7,IF(F220&lt;=7,9,9))))</f>
      </c>
      <c r="L220" s="1">
        <f>IF(D220&gt;0,1/K220,I220)</f>
      </c>
      <c r="M220" s="1">
        <f>IF(D220&gt;0,1/J220,J220)</f>
      </c>
      <c r="N220" s="1">
        <f>IF(D220&gt;0,1/I220,K220)</f>
      </c>
    </row>
    <row r="223">
      <c r="A223" t="str">
        <v>═══ RESPONDEN 6: Drh Guswandi ═══</v>
      </c>
    </row>
    <row r="224">
      <c r="A224" t="str">
        <v>Jabatan: Fungsional Medik Veteriner Ahli Madya | Instansi: DPKH Provinsi Riau</v>
      </c>
    </row>
    <row r="225">
      <c r="A225" t="str">
        <v>No</v>
      </c>
      <c r="B225" t="str">
        <v>Krit. A</v>
      </c>
      <c r="C225" t="str">
        <v>Krit. B</v>
      </c>
      <c r="D225" t="str">
        <v>Slider</v>
      </c>
      <c r="E225" t="str">
        <v>|Slider|</v>
      </c>
      <c r="F225" t="str">
        <v>absVal</v>
      </c>
      <c r="G225" t="str">
        <v>Arah</v>
      </c>
      <c r="H225" t="str">
        <v>Fuzzy</v>
      </c>
      <c r="I225" t="str">
        <v>l_orig</v>
      </c>
      <c r="J225" t="str">
        <v>m_orig</v>
      </c>
      <c r="K225" t="str">
        <v>u_orig</v>
      </c>
      <c r="L225" t="str">
        <v>TFN_l</v>
      </c>
      <c r="M225" t="str">
        <v>TFN_m</v>
      </c>
      <c r="N225" t="str">
        <v>TFN_u</v>
      </c>
    </row>
    <row r="226">
      <c r="A226">
        <v>1</v>
      </c>
      <c r="B226" t="str">
        <v>CP1</v>
      </c>
      <c r="C226" t="str">
        <v>CP2</v>
      </c>
      <c r="D226">
        <v>6</v>
      </c>
      <c r="E226">
        <v>6</v>
      </c>
      <c r="F226">
        <f>ABS(D226)+1</f>
      </c>
      <c r="G226" t="str">
        <v>→ CP2</v>
      </c>
      <c r="H226" t="str">
        <v>VERY_STRONG</v>
      </c>
      <c r="I226">
        <f>IF(F226=1,1,IF(F226&lt;=3,1,IF(F226&lt;=5,3,IF(F226&lt;=7,5,7))))</f>
      </c>
      <c r="J226">
        <f>IF(F226=1,1,IF(F226&lt;=3,3,IF(F226&lt;=5,5,IF(F226&lt;=7,7,9))))</f>
      </c>
      <c r="K226">
        <f>IF(F226=1,1,IF(F226&lt;=3,5,IF(F226&lt;=5,7,IF(F226&lt;=7,9,9))))</f>
      </c>
      <c r="L226" s="1">
        <f>IF(D226&gt;0,1/K226,I226)</f>
      </c>
      <c r="M226" s="1">
        <f>IF(D226&gt;0,1/J226,J226)</f>
      </c>
      <c r="N226" s="1">
        <f>IF(D226&gt;0,1/I226,K226)</f>
      </c>
    </row>
    <row r="227">
      <c r="A227">
        <v>2</v>
      </c>
      <c r="B227" t="str">
        <v>CP1</v>
      </c>
      <c r="C227" t="str">
        <v>CP3</v>
      </c>
      <c r="D227">
        <v>-7</v>
      </c>
      <c r="E227">
        <v>7</v>
      </c>
      <c r="F227">
        <f>ABS(D227)+1</f>
      </c>
      <c r="G227" t="str">
        <v>← CP1</v>
      </c>
      <c r="H227" t="str">
        <v>EXTREME</v>
      </c>
      <c r="I227">
        <f>IF(F227=1,1,IF(F227&lt;=3,1,IF(F227&lt;=5,3,IF(F227&lt;=7,5,7))))</f>
      </c>
      <c r="J227">
        <f>IF(F227=1,1,IF(F227&lt;=3,3,IF(F227&lt;=5,5,IF(F227&lt;=7,7,9))))</f>
      </c>
      <c r="K227">
        <f>IF(F227=1,1,IF(F227&lt;=3,5,IF(F227&lt;=5,7,IF(F227&lt;=7,9,9))))</f>
      </c>
      <c r="L227" s="1">
        <f>IF(D227&gt;0,1/K227,I227)</f>
      </c>
      <c r="M227" s="1">
        <f>IF(D227&gt;0,1/J227,J227)</f>
      </c>
      <c r="N227" s="1">
        <f>IF(D227&gt;0,1/I227,K227)</f>
      </c>
    </row>
    <row r="228">
      <c r="A228">
        <v>3</v>
      </c>
      <c r="B228" t="str">
        <v>CP1</v>
      </c>
      <c r="C228" t="str">
        <v>CP4</v>
      </c>
      <c r="D228">
        <v>8</v>
      </c>
      <c r="E228">
        <v>8</v>
      </c>
      <c r="F228">
        <f>ABS(D228)+1</f>
      </c>
      <c r="G228" t="str">
        <v>→ CP4</v>
      </c>
      <c r="H228" t="str">
        <v>EXTREME</v>
      </c>
      <c r="I228">
        <f>IF(F228=1,1,IF(F228&lt;=3,1,IF(F228&lt;=5,3,IF(F228&lt;=7,5,7))))</f>
      </c>
      <c r="J228">
        <f>IF(F228=1,1,IF(F228&lt;=3,3,IF(F228&lt;=5,5,IF(F228&lt;=7,7,9))))</f>
      </c>
      <c r="K228">
        <f>IF(F228=1,1,IF(F228&lt;=3,5,IF(F228&lt;=5,7,IF(F228&lt;=7,9,9))))</f>
      </c>
      <c r="L228" s="1">
        <f>IF(D228&gt;0,1/K228,I228)</f>
      </c>
      <c r="M228" s="1">
        <f>IF(D228&gt;0,1/J228,J228)</f>
      </c>
      <c r="N228" s="1">
        <f>IF(D228&gt;0,1/I228,K228)</f>
      </c>
    </row>
    <row r="229">
      <c r="A229">
        <v>4</v>
      </c>
      <c r="B229" t="str">
        <v>CP1</v>
      </c>
      <c r="C229" t="str">
        <v>CP5</v>
      </c>
      <c r="D229">
        <v>8</v>
      </c>
      <c r="E229">
        <v>8</v>
      </c>
      <c r="F229">
        <f>ABS(D229)+1</f>
      </c>
      <c r="G229" t="str">
        <v>→ CP5</v>
      </c>
      <c r="H229" t="str">
        <v>EXTREME</v>
      </c>
      <c r="I229">
        <f>IF(F229=1,1,IF(F229&lt;=3,1,IF(F229&lt;=5,3,IF(F229&lt;=7,5,7))))</f>
      </c>
      <c r="J229">
        <f>IF(F229=1,1,IF(F229&lt;=3,3,IF(F229&lt;=5,5,IF(F229&lt;=7,7,9))))</f>
      </c>
      <c r="K229">
        <f>IF(F229=1,1,IF(F229&lt;=3,5,IF(F229&lt;=5,7,IF(F229&lt;=7,9,9))))</f>
      </c>
      <c r="L229" s="1">
        <f>IF(D229&gt;0,1/K229,I229)</f>
      </c>
      <c r="M229" s="1">
        <f>IF(D229&gt;0,1/J229,J229)</f>
      </c>
      <c r="N229" s="1">
        <f>IF(D229&gt;0,1/I229,K229)</f>
      </c>
    </row>
    <row r="230">
      <c r="A230">
        <v>5</v>
      </c>
      <c r="B230" t="str">
        <v>CP1</v>
      </c>
      <c r="C230" t="str">
        <v>CP6</v>
      </c>
      <c r="D230">
        <v>8</v>
      </c>
      <c r="E230">
        <v>8</v>
      </c>
      <c r="F230">
        <f>ABS(D230)+1</f>
      </c>
      <c r="G230" t="str">
        <v>→ CP6</v>
      </c>
      <c r="H230" t="str">
        <v>EXTREME</v>
      </c>
      <c r="I230">
        <f>IF(F230=1,1,IF(F230&lt;=3,1,IF(F230&lt;=5,3,IF(F230&lt;=7,5,7))))</f>
      </c>
      <c r="J230">
        <f>IF(F230=1,1,IF(F230&lt;=3,3,IF(F230&lt;=5,5,IF(F230&lt;=7,7,9))))</f>
      </c>
      <c r="K230">
        <f>IF(F230=1,1,IF(F230&lt;=3,5,IF(F230&lt;=5,7,IF(F230&lt;=7,9,9))))</f>
      </c>
      <c r="L230" s="1">
        <f>IF(D230&gt;0,1/K230,I230)</f>
      </c>
      <c r="M230" s="1">
        <f>IF(D230&gt;0,1/J230,J230)</f>
      </c>
      <c r="N230" s="1">
        <f>IF(D230&gt;0,1/I230,K230)</f>
      </c>
    </row>
    <row r="231">
      <c r="A231">
        <v>6</v>
      </c>
      <c r="B231" t="str">
        <v>CP1</v>
      </c>
      <c r="C231" t="str">
        <v>CP7</v>
      </c>
      <c r="D231">
        <v>8</v>
      </c>
      <c r="E231">
        <v>8</v>
      </c>
      <c r="F231">
        <f>ABS(D231)+1</f>
      </c>
      <c r="G231" t="str">
        <v>→ CP7</v>
      </c>
      <c r="H231" t="str">
        <v>EXTREME</v>
      </c>
      <c r="I231">
        <f>IF(F231=1,1,IF(F231&lt;=3,1,IF(F231&lt;=5,3,IF(F231&lt;=7,5,7))))</f>
      </c>
      <c r="J231">
        <f>IF(F231=1,1,IF(F231&lt;=3,3,IF(F231&lt;=5,5,IF(F231&lt;=7,7,9))))</f>
      </c>
      <c r="K231">
        <f>IF(F231=1,1,IF(F231&lt;=3,5,IF(F231&lt;=5,7,IF(F231&lt;=7,9,9))))</f>
      </c>
      <c r="L231" s="1">
        <f>IF(D231&gt;0,1/K231,I231)</f>
      </c>
      <c r="M231" s="1">
        <f>IF(D231&gt;0,1/J231,J231)</f>
      </c>
      <c r="N231" s="1">
        <f>IF(D231&gt;0,1/I231,K231)</f>
      </c>
    </row>
    <row r="232">
      <c r="A232">
        <v>7</v>
      </c>
      <c r="B232" t="str">
        <v>CP1</v>
      </c>
      <c r="C232" t="str">
        <v>CP8</v>
      </c>
      <c r="D232">
        <v>7</v>
      </c>
      <c r="E232">
        <v>7</v>
      </c>
      <c r="F232">
        <f>ABS(D232)+1</f>
      </c>
      <c r="G232" t="str">
        <v>→ CP8</v>
      </c>
      <c r="H232" t="str">
        <v>EXTREME</v>
      </c>
      <c r="I232">
        <f>IF(F232=1,1,IF(F232&lt;=3,1,IF(F232&lt;=5,3,IF(F232&lt;=7,5,7))))</f>
      </c>
      <c r="J232">
        <f>IF(F232=1,1,IF(F232&lt;=3,3,IF(F232&lt;=5,5,IF(F232&lt;=7,7,9))))</f>
      </c>
      <c r="K232">
        <f>IF(F232=1,1,IF(F232&lt;=3,5,IF(F232&lt;=5,7,IF(F232&lt;=7,9,9))))</f>
      </c>
      <c r="L232" s="1">
        <f>IF(D232&gt;0,1/K232,I232)</f>
      </c>
      <c r="M232" s="1">
        <f>IF(D232&gt;0,1/J232,J232)</f>
      </c>
      <c r="N232" s="1">
        <f>IF(D232&gt;0,1/I232,K232)</f>
      </c>
    </row>
    <row r="233">
      <c r="A233">
        <v>8</v>
      </c>
      <c r="B233" t="str">
        <v>CP1</v>
      </c>
      <c r="C233" t="str">
        <v>CP9</v>
      </c>
      <c r="D233">
        <v>7</v>
      </c>
      <c r="E233">
        <v>7</v>
      </c>
      <c r="F233">
        <f>ABS(D233)+1</f>
      </c>
      <c r="G233" t="str">
        <v>→ CP9</v>
      </c>
      <c r="H233" t="str">
        <v>EXTREME</v>
      </c>
      <c r="I233">
        <f>IF(F233=1,1,IF(F233&lt;=3,1,IF(F233&lt;=5,3,IF(F233&lt;=7,5,7))))</f>
      </c>
      <c r="J233">
        <f>IF(F233=1,1,IF(F233&lt;=3,3,IF(F233&lt;=5,5,IF(F233&lt;=7,7,9))))</f>
      </c>
      <c r="K233">
        <f>IF(F233=1,1,IF(F233&lt;=3,5,IF(F233&lt;=5,7,IF(F233&lt;=7,9,9))))</f>
      </c>
      <c r="L233" s="1">
        <f>IF(D233&gt;0,1/K233,I233)</f>
      </c>
      <c r="M233" s="1">
        <f>IF(D233&gt;0,1/J233,J233)</f>
      </c>
      <c r="N233" s="1">
        <f>IF(D233&gt;0,1/I233,K233)</f>
      </c>
    </row>
    <row r="234">
      <c r="A234">
        <v>9</v>
      </c>
      <c r="B234" t="str">
        <v>CP2</v>
      </c>
      <c r="C234" t="str">
        <v>CP3</v>
      </c>
      <c r="D234">
        <v>-7</v>
      </c>
      <c r="E234">
        <v>7</v>
      </c>
      <c r="F234">
        <f>ABS(D234)+1</f>
      </c>
      <c r="G234" t="str">
        <v>← CP2</v>
      </c>
      <c r="H234" t="str">
        <v>EXTREME</v>
      </c>
      <c r="I234">
        <f>IF(F234=1,1,IF(F234&lt;=3,1,IF(F234&lt;=5,3,IF(F234&lt;=7,5,7))))</f>
      </c>
      <c r="J234">
        <f>IF(F234=1,1,IF(F234&lt;=3,3,IF(F234&lt;=5,5,IF(F234&lt;=7,7,9))))</f>
      </c>
      <c r="K234">
        <f>IF(F234=1,1,IF(F234&lt;=3,5,IF(F234&lt;=5,7,IF(F234&lt;=7,9,9))))</f>
      </c>
      <c r="L234" s="1">
        <f>IF(D234&gt;0,1/K234,I234)</f>
      </c>
      <c r="M234" s="1">
        <f>IF(D234&gt;0,1/J234,J234)</f>
      </c>
      <c r="N234" s="1">
        <f>IF(D234&gt;0,1/I234,K234)</f>
      </c>
    </row>
    <row r="235">
      <c r="A235">
        <v>10</v>
      </c>
      <c r="B235" t="str">
        <v>CP2</v>
      </c>
      <c r="C235" t="str">
        <v>CP4</v>
      </c>
      <c r="D235">
        <v>7</v>
      </c>
      <c r="E235">
        <v>7</v>
      </c>
      <c r="F235">
        <f>ABS(D235)+1</f>
      </c>
      <c r="G235" t="str">
        <v>→ CP4</v>
      </c>
      <c r="H235" t="str">
        <v>EXTREME</v>
      </c>
      <c r="I235">
        <f>IF(F235=1,1,IF(F235&lt;=3,1,IF(F235&lt;=5,3,IF(F235&lt;=7,5,7))))</f>
      </c>
      <c r="J235">
        <f>IF(F235=1,1,IF(F235&lt;=3,3,IF(F235&lt;=5,5,IF(F235&lt;=7,7,9))))</f>
      </c>
      <c r="K235">
        <f>IF(F235=1,1,IF(F235&lt;=3,5,IF(F235&lt;=5,7,IF(F235&lt;=7,9,9))))</f>
      </c>
      <c r="L235" s="1">
        <f>IF(D235&gt;0,1/K235,I235)</f>
      </c>
      <c r="M235" s="1">
        <f>IF(D235&gt;0,1/J235,J235)</f>
      </c>
      <c r="N235" s="1">
        <f>IF(D235&gt;0,1/I235,K235)</f>
      </c>
    </row>
    <row r="236">
      <c r="A236">
        <v>11</v>
      </c>
      <c r="B236" t="str">
        <v>CP2</v>
      </c>
      <c r="C236" t="str">
        <v>CP5</v>
      </c>
      <c r="D236">
        <v>8</v>
      </c>
      <c r="E236">
        <v>8</v>
      </c>
      <c r="F236">
        <f>ABS(D236)+1</f>
      </c>
      <c r="G236" t="str">
        <v>→ CP5</v>
      </c>
      <c r="H236" t="str">
        <v>EXTREME</v>
      </c>
      <c r="I236">
        <f>IF(F236=1,1,IF(F236&lt;=3,1,IF(F236&lt;=5,3,IF(F236&lt;=7,5,7))))</f>
      </c>
      <c r="J236">
        <f>IF(F236=1,1,IF(F236&lt;=3,3,IF(F236&lt;=5,5,IF(F236&lt;=7,7,9))))</f>
      </c>
      <c r="K236">
        <f>IF(F236=1,1,IF(F236&lt;=3,5,IF(F236&lt;=5,7,IF(F236&lt;=7,9,9))))</f>
      </c>
      <c r="L236" s="1">
        <f>IF(D236&gt;0,1/K236,I236)</f>
      </c>
      <c r="M236" s="1">
        <f>IF(D236&gt;0,1/J236,J236)</f>
      </c>
      <c r="N236" s="1">
        <f>IF(D236&gt;0,1/I236,K236)</f>
      </c>
    </row>
    <row r="237">
      <c r="A237">
        <v>12</v>
      </c>
      <c r="B237" t="str">
        <v>CP2</v>
      </c>
      <c r="C237" t="str">
        <v>CP6</v>
      </c>
      <c r="D237">
        <v>7</v>
      </c>
      <c r="E237">
        <v>7</v>
      </c>
      <c r="F237">
        <f>ABS(D237)+1</f>
      </c>
      <c r="G237" t="str">
        <v>→ CP6</v>
      </c>
      <c r="H237" t="str">
        <v>EXTREME</v>
      </c>
      <c r="I237">
        <f>IF(F237=1,1,IF(F237&lt;=3,1,IF(F237&lt;=5,3,IF(F237&lt;=7,5,7))))</f>
      </c>
      <c r="J237">
        <f>IF(F237=1,1,IF(F237&lt;=3,3,IF(F237&lt;=5,5,IF(F237&lt;=7,7,9))))</f>
      </c>
      <c r="K237">
        <f>IF(F237=1,1,IF(F237&lt;=3,5,IF(F237&lt;=5,7,IF(F237&lt;=7,9,9))))</f>
      </c>
      <c r="L237" s="1">
        <f>IF(D237&gt;0,1/K237,I237)</f>
      </c>
      <c r="M237" s="1">
        <f>IF(D237&gt;0,1/J237,J237)</f>
      </c>
      <c r="N237" s="1">
        <f>IF(D237&gt;0,1/I237,K237)</f>
      </c>
    </row>
    <row r="238">
      <c r="A238">
        <v>13</v>
      </c>
      <c r="B238" t="str">
        <v>CP2</v>
      </c>
      <c r="C238" t="str">
        <v>CP7</v>
      </c>
      <c r="D238">
        <v>7</v>
      </c>
      <c r="E238">
        <v>7</v>
      </c>
      <c r="F238">
        <f>ABS(D238)+1</f>
      </c>
      <c r="G238" t="str">
        <v>→ CP7</v>
      </c>
      <c r="H238" t="str">
        <v>EXTREME</v>
      </c>
      <c r="I238">
        <f>IF(F238=1,1,IF(F238&lt;=3,1,IF(F238&lt;=5,3,IF(F238&lt;=7,5,7))))</f>
      </c>
      <c r="J238">
        <f>IF(F238=1,1,IF(F238&lt;=3,3,IF(F238&lt;=5,5,IF(F238&lt;=7,7,9))))</f>
      </c>
      <c r="K238">
        <f>IF(F238=1,1,IF(F238&lt;=3,5,IF(F238&lt;=5,7,IF(F238&lt;=7,9,9))))</f>
      </c>
      <c r="L238" s="1">
        <f>IF(D238&gt;0,1/K238,I238)</f>
      </c>
      <c r="M238" s="1">
        <f>IF(D238&gt;0,1/J238,J238)</f>
      </c>
      <c r="N238" s="1">
        <f>IF(D238&gt;0,1/I238,K238)</f>
      </c>
    </row>
    <row r="239">
      <c r="A239">
        <v>14</v>
      </c>
      <c r="B239" t="str">
        <v>CP2</v>
      </c>
      <c r="C239" t="str">
        <v>CP8</v>
      </c>
      <c r="D239">
        <v>7</v>
      </c>
      <c r="E239">
        <v>7</v>
      </c>
      <c r="F239">
        <f>ABS(D239)+1</f>
      </c>
      <c r="G239" t="str">
        <v>→ CP8</v>
      </c>
      <c r="H239" t="str">
        <v>EXTREME</v>
      </c>
      <c r="I239">
        <f>IF(F239=1,1,IF(F239&lt;=3,1,IF(F239&lt;=5,3,IF(F239&lt;=7,5,7))))</f>
      </c>
      <c r="J239">
        <f>IF(F239=1,1,IF(F239&lt;=3,3,IF(F239&lt;=5,5,IF(F239&lt;=7,7,9))))</f>
      </c>
      <c r="K239">
        <f>IF(F239=1,1,IF(F239&lt;=3,5,IF(F239&lt;=5,7,IF(F239&lt;=7,9,9))))</f>
      </c>
      <c r="L239" s="1">
        <f>IF(D239&gt;0,1/K239,I239)</f>
      </c>
      <c r="M239" s="1">
        <f>IF(D239&gt;0,1/J239,J239)</f>
      </c>
      <c r="N239" s="1">
        <f>IF(D239&gt;0,1/I239,K239)</f>
      </c>
    </row>
    <row r="240">
      <c r="A240">
        <v>15</v>
      </c>
      <c r="B240" t="str">
        <v>CP2</v>
      </c>
      <c r="C240" t="str">
        <v>CP9</v>
      </c>
      <c r="D240">
        <v>7</v>
      </c>
      <c r="E240">
        <v>7</v>
      </c>
      <c r="F240">
        <f>ABS(D240)+1</f>
      </c>
      <c r="G240" t="str">
        <v>→ CP9</v>
      </c>
      <c r="H240" t="str">
        <v>EXTREME</v>
      </c>
      <c r="I240">
        <f>IF(F240=1,1,IF(F240&lt;=3,1,IF(F240&lt;=5,3,IF(F240&lt;=7,5,7))))</f>
      </c>
      <c r="J240">
        <f>IF(F240=1,1,IF(F240&lt;=3,3,IF(F240&lt;=5,5,IF(F240&lt;=7,7,9))))</f>
      </c>
      <c r="K240">
        <f>IF(F240=1,1,IF(F240&lt;=3,5,IF(F240&lt;=5,7,IF(F240&lt;=7,9,9))))</f>
      </c>
      <c r="L240" s="1">
        <f>IF(D240&gt;0,1/K240,I240)</f>
      </c>
      <c r="M240" s="1">
        <f>IF(D240&gt;0,1/J240,J240)</f>
      </c>
      <c r="N240" s="1">
        <f>IF(D240&gt;0,1/I240,K240)</f>
      </c>
    </row>
    <row r="241">
      <c r="A241">
        <v>16</v>
      </c>
      <c r="B241" t="str">
        <v>CP3</v>
      </c>
      <c r="C241" t="str">
        <v>CP4</v>
      </c>
      <c r="D241">
        <v>8</v>
      </c>
      <c r="E241">
        <v>8</v>
      </c>
      <c r="F241">
        <f>ABS(D241)+1</f>
      </c>
      <c r="G241" t="str">
        <v>→ CP4</v>
      </c>
      <c r="H241" t="str">
        <v>EXTREME</v>
      </c>
      <c r="I241">
        <f>IF(F241=1,1,IF(F241&lt;=3,1,IF(F241&lt;=5,3,IF(F241&lt;=7,5,7))))</f>
      </c>
      <c r="J241">
        <f>IF(F241=1,1,IF(F241&lt;=3,3,IF(F241&lt;=5,5,IF(F241&lt;=7,7,9))))</f>
      </c>
      <c r="K241">
        <f>IF(F241=1,1,IF(F241&lt;=3,5,IF(F241&lt;=5,7,IF(F241&lt;=7,9,9))))</f>
      </c>
      <c r="L241" s="1">
        <f>IF(D241&gt;0,1/K241,I241)</f>
      </c>
      <c r="M241" s="1">
        <f>IF(D241&gt;0,1/J241,J241)</f>
      </c>
      <c r="N241" s="1">
        <f>IF(D241&gt;0,1/I241,K241)</f>
      </c>
    </row>
    <row r="242">
      <c r="A242">
        <v>17</v>
      </c>
      <c r="B242" t="str">
        <v>CP3</v>
      </c>
      <c r="C242" t="str">
        <v>CP5</v>
      </c>
      <c r="D242">
        <v>8</v>
      </c>
      <c r="E242">
        <v>8</v>
      </c>
      <c r="F242">
        <f>ABS(D242)+1</f>
      </c>
      <c r="G242" t="str">
        <v>→ CP5</v>
      </c>
      <c r="H242" t="str">
        <v>EXTREME</v>
      </c>
      <c r="I242">
        <f>IF(F242=1,1,IF(F242&lt;=3,1,IF(F242&lt;=5,3,IF(F242&lt;=7,5,7))))</f>
      </c>
      <c r="J242">
        <f>IF(F242=1,1,IF(F242&lt;=3,3,IF(F242&lt;=5,5,IF(F242&lt;=7,7,9))))</f>
      </c>
      <c r="K242">
        <f>IF(F242=1,1,IF(F242&lt;=3,5,IF(F242&lt;=5,7,IF(F242&lt;=7,9,9))))</f>
      </c>
      <c r="L242" s="1">
        <f>IF(D242&gt;0,1/K242,I242)</f>
      </c>
      <c r="M242" s="1">
        <f>IF(D242&gt;0,1/J242,J242)</f>
      </c>
      <c r="N242" s="1">
        <f>IF(D242&gt;0,1/I242,K242)</f>
      </c>
    </row>
    <row r="243">
      <c r="A243">
        <v>18</v>
      </c>
      <c r="B243" t="str">
        <v>CP3</v>
      </c>
      <c r="C243" t="str">
        <v>CP6</v>
      </c>
      <c r="D243">
        <v>7</v>
      </c>
      <c r="E243">
        <v>7</v>
      </c>
      <c r="F243">
        <f>ABS(D243)+1</f>
      </c>
      <c r="G243" t="str">
        <v>→ CP6</v>
      </c>
      <c r="H243" t="str">
        <v>EXTREME</v>
      </c>
      <c r="I243">
        <f>IF(F243=1,1,IF(F243&lt;=3,1,IF(F243&lt;=5,3,IF(F243&lt;=7,5,7))))</f>
      </c>
      <c r="J243">
        <f>IF(F243=1,1,IF(F243&lt;=3,3,IF(F243&lt;=5,5,IF(F243&lt;=7,7,9))))</f>
      </c>
      <c r="K243">
        <f>IF(F243=1,1,IF(F243&lt;=3,5,IF(F243&lt;=5,7,IF(F243&lt;=7,9,9))))</f>
      </c>
      <c r="L243" s="1">
        <f>IF(D243&gt;0,1/K243,I243)</f>
      </c>
      <c r="M243" s="1">
        <f>IF(D243&gt;0,1/J243,J243)</f>
      </c>
      <c r="N243" s="1">
        <f>IF(D243&gt;0,1/I243,K243)</f>
      </c>
    </row>
    <row r="244">
      <c r="A244">
        <v>19</v>
      </c>
      <c r="B244" t="str">
        <v>CP3</v>
      </c>
      <c r="C244" t="str">
        <v>CP7</v>
      </c>
      <c r="D244">
        <v>7</v>
      </c>
      <c r="E244">
        <v>7</v>
      </c>
      <c r="F244">
        <f>ABS(D244)+1</f>
      </c>
      <c r="G244" t="str">
        <v>→ CP7</v>
      </c>
      <c r="H244" t="str">
        <v>EXTREME</v>
      </c>
      <c r="I244">
        <f>IF(F244=1,1,IF(F244&lt;=3,1,IF(F244&lt;=5,3,IF(F244&lt;=7,5,7))))</f>
      </c>
      <c r="J244">
        <f>IF(F244=1,1,IF(F244&lt;=3,3,IF(F244&lt;=5,5,IF(F244&lt;=7,7,9))))</f>
      </c>
      <c r="K244">
        <f>IF(F244=1,1,IF(F244&lt;=3,5,IF(F244&lt;=5,7,IF(F244&lt;=7,9,9))))</f>
      </c>
      <c r="L244" s="1">
        <f>IF(D244&gt;0,1/K244,I244)</f>
      </c>
      <c r="M244" s="1">
        <f>IF(D244&gt;0,1/J244,J244)</f>
      </c>
      <c r="N244" s="1">
        <f>IF(D244&gt;0,1/I244,K244)</f>
      </c>
    </row>
    <row r="245">
      <c r="A245">
        <v>20</v>
      </c>
      <c r="B245" t="str">
        <v>CP3</v>
      </c>
      <c r="C245" t="str">
        <v>CP8</v>
      </c>
      <c r="D245">
        <v>7</v>
      </c>
      <c r="E245">
        <v>7</v>
      </c>
      <c r="F245">
        <f>ABS(D245)+1</f>
      </c>
      <c r="G245" t="str">
        <v>→ CP8</v>
      </c>
      <c r="H245" t="str">
        <v>EXTREME</v>
      </c>
      <c r="I245">
        <f>IF(F245=1,1,IF(F245&lt;=3,1,IF(F245&lt;=5,3,IF(F245&lt;=7,5,7))))</f>
      </c>
      <c r="J245">
        <f>IF(F245=1,1,IF(F245&lt;=3,3,IF(F245&lt;=5,5,IF(F245&lt;=7,7,9))))</f>
      </c>
      <c r="K245">
        <f>IF(F245=1,1,IF(F245&lt;=3,5,IF(F245&lt;=5,7,IF(F245&lt;=7,9,9))))</f>
      </c>
      <c r="L245" s="1">
        <f>IF(D245&gt;0,1/K245,I245)</f>
      </c>
      <c r="M245" s="1">
        <f>IF(D245&gt;0,1/J245,J245)</f>
      </c>
      <c r="N245" s="1">
        <f>IF(D245&gt;0,1/I245,K245)</f>
      </c>
    </row>
    <row r="246">
      <c r="A246">
        <v>21</v>
      </c>
      <c r="B246" t="str">
        <v>CP3</v>
      </c>
      <c r="C246" t="str">
        <v>CP9</v>
      </c>
      <c r="D246">
        <v>7</v>
      </c>
      <c r="E246">
        <v>7</v>
      </c>
      <c r="F246">
        <f>ABS(D246)+1</f>
      </c>
      <c r="G246" t="str">
        <v>→ CP9</v>
      </c>
      <c r="H246" t="str">
        <v>EXTREME</v>
      </c>
      <c r="I246">
        <f>IF(F246=1,1,IF(F246&lt;=3,1,IF(F246&lt;=5,3,IF(F246&lt;=7,5,7))))</f>
      </c>
      <c r="J246">
        <f>IF(F246=1,1,IF(F246&lt;=3,3,IF(F246&lt;=5,5,IF(F246&lt;=7,7,9))))</f>
      </c>
      <c r="K246">
        <f>IF(F246=1,1,IF(F246&lt;=3,5,IF(F246&lt;=5,7,IF(F246&lt;=7,9,9))))</f>
      </c>
      <c r="L246" s="1">
        <f>IF(D246&gt;0,1/K246,I246)</f>
      </c>
      <c r="M246" s="1">
        <f>IF(D246&gt;0,1/J246,J246)</f>
      </c>
      <c r="N246" s="1">
        <f>IF(D246&gt;0,1/I246,K246)</f>
      </c>
    </row>
    <row r="247">
      <c r="A247">
        <v>22</v>
      </c>
      <c r="B247" t="str">
        <v>CP4</v>
      </c>
      <c r="C247" t="str">
        <v>CP5</v>
      </c>
      <c r="D247">
        <v>7</v>
      </c>
      <c r="E247">
        <v>7</v>
      </c>
      <c r="F247">
        <f>ABS(D247)+1</f>
      </c>
      <c r="G247" t="str">
        <v>→ CP5</v>
      </c>
      <c r="H247" t="str">
        <v>EXTREME</v>
      </c>
      <c r="I247">
        <f>IF(F247=1,1,IF(F247&lt;=3,1,IF(F247&lt;=5,3,IF(F247&lt;=7,5,7))))</f>
      </c>
      <c r="J247">
        <f>IF(F247=1,1,IF(F247&lt;=3,3,IF(F247&lt;=5,5,IF(F247&lt;=7,7,9))))</f>
      </c>
      <c r="K247">
        <f>IF(F247=1,1,IF(F247&lt;=3,5,IF(F247&lt;=5,7,IF(F247&lt;=7,9,9))))</f>
      </c>
      <c r="L247" s="1">
        <f>IF(D247&gt;0,1/K247,I247)</f>
      </c>
      <c r="M247" s="1">
        <f>IF(D247&gt;0,1/J247,J247)</f>
      </c>
      <c r="N247" s="1">
        <f>IF(D247&gt;0,1/I247,K247)</f>
      </c>
    </row>
    <row r="248">
      <c r="A248">
        <v>23</v>
      </c>
      <c r="B248" t="str">
        <v>CP4</v>
      </c>
      <c r="C248" t="str">
        <v>CP6</v>
      </c>
      <c r="D248">
        <v>7</v>
      </c>
      <c r="E248">
        <v>7</v>
      </c>
      <c r="F248">
        <f>ABS(D248)+1</f>
      </c>
      <c r="G248" t="str">
        <v>→ CP6</v>
      </c>
      <c r="H248" t="str">
        <v>EXTREME</v>
      </c>
      <c r="I248">
        <f>IF(F248=1,1,IF(F248&lt;=3,1,IF(F248&lt;=5,3,IF(F248&lt;=7,5,7))))</f>
      </c>
      <c r="J248">
        <f>IF(F248=1,1,IF(F248&lt;=3,3,IF(F248&lt;=5,5,IF(F248&lt;=7,7,9))))</f>
      </c>
      <c r="K248">
        <f>IF(F248=1,1,IF(F248&lt;=3,5,IF(F248&lt;=5,7,IF(F248&lt;=7,9,9))))</f>
      </c>
      <c r="L248" s="1">
        <f>IF(D248&gt;0,1/K248,I248)</f>
      </c>
      <c r="M248" s="1">
        <f>IF(D248&gt;0,1/J248,J248)</f>
      </c>
      <c r="N248" s="1">
        <f>IF(D248&gt;0,1/I248,K248)</f>
      </c>
    </row>
    <row r="249">
      <c r="A249">
        <v>24</v>
      </c>
      <c r="B249" t="str">
        <v>CP4</v>
      </c>
      <c r="C249" t="str">
        <v>CP7</v>
      </c>
      <c r="D249">
        <v>7</v>
      </c>
      <c r="E249">
        <v>7</v>
      </c>
      <c r="F249">
        <f>ABS(D249)+1</f>
      </c>
      <c r="G249" t="str">
        <v>→ CP7</v>
      </c>
      <c r="H249" t="str">
        <v>EXTREME</v>
      </c>
      <c r="I249">
        <f>IF(F249=1,1,IF(F249&lt;=3,1,IF(F249&lt;=5,3,IF(F249&lt;=7,5,7))))</f>
      </c>
      <c r="J249">
        <f>IF(F249=1,1,IF(F249&lt;=3,3,IF(F249&lt;=5,5,IF(F249&lt;=7,7,9))))</f>
      </c>
      <c r="K249">
        <f>IF(F249=1,1,IF(F249&lt;=3,5,IF(F249&lt;=5,7,IF(F249&lt;=7,9,9))))</f>
      </c>
      <c r="L249" s="1">
        <f>IF(D249&gt;0,1/K249,I249)</f>
      </c>
      <c r="M249" s="1">
        <f>IF(D249&gt;0,1/J249,J249)</f>
      </c>
      <c r="N249" s="1">
        <f>IF(D249&gt;0,1/I249,K249)</f>
      </c>
    </row>
    <row r="250">
      <c r="A250">
        <v>25</v>
      </c>
      <c r="B250" t="str">
        <v>CP4</v>
      </c>
      <c r="C250" t="str">
        <v>CP8</v>
      </c>
      <c r="D250">
        <v>8</v>
      </c>
      <c r="E250">
        <v>8</v>
      </c>
      <c r="F250">
        <f>ABS(D250)+1</f>
      </c>
      <c r="G250" t="str">
        <v>→ CP8</v>
      </c>
      <c r="H250" t="str">
        <v>EXTREME</v>
      </c>
      <c r="I250">
        <f>IF(F250=1,1,IF(F250&lt;=3,1,IF(F250&lt;=5,3,IF(F250&lt;=7,5,7))))</f>
      </c>
      <c r="J250">
        <f>IF(F250=1,1,IF(F250&lt;=3,3,IF(F250&lt;=5,5,IF(F250&lt;=7,7,9))))</f>
      </c>
      <c r="K250">
        <f>IF(F250=1,1,IF(F250&lt;=3,5,IF(F250&lt;=5,7,IF(F250&lt;=7,9,9))))</f>
      </c>
      <c r="L250" s="1">
        <f>IF(D250&gt;0,1/K250,I250)</f>
      </c>
      <c r="M250" s="1">
        <f>IF(D250&gt;0,1/J250,J250)</f>
      </c>
      <c r="N250" s="1">
        <f>IF(D250&gt;0,1/I250,K250)</f>
      </c>
    </row>
    <row r="251">
      <c r="A251">
        <v>26</v>
      </c>
      <c r="B251" t="str">
        <v>CP4</v>
      </c>
      <c r="C251" t="str">
        <v>CP9</v>
      </c>
      <c r="D251">
        <v>-7</v>
      </c>
      <c r="E251">
        <v>7</v>
      </c>
      <c r="F251">
        <f>ABS(D251)+1</f>
      </c>
      <c r="G251" t="str">
        <v>← CP4</v>
      </c>
      <c r="H251" t="str">
        <v>EXTREME</v>
      </c>
      <c r="I251">
        <f>IF(F251=1,1,IF(F251&lt;=3,1,IF(F251&lt;=5,3,IF(F251&lt;=7,5,7))))</f>
      </c>
      <c r="J251">
        <f>IF(F251=1,1,IF(F251&lt;=3,3,IF(F251&lt;=5,5,IF(F251&lt;=7,7,9))))</f>
      </c>
      <c r="K251">
        <f>IF(F251=1,1,IF(F251&lt;=3,5,IF(F251&lt;=5,7,IF(F251&lt;=7,9,9))))</f>
      </c>
      <c r="L251" s="1">
        <f>IF(D251&gt;0,1/K251,I251)</f>
      </c>
      <c r="M251" s="1">
        <f>IF(D251&gt;0,1/J251,J251)</f>
      </c>
      <c r="N251" s="1">
        <f>IF(D251&gt;0,1/I251,K251)</f>
      </c>
    </row>
    <row r="252">
      <c r="A252">
        <v>27</v>
      </c>
      <c r="B252" t="str">
        <v>CP5</v>
      </c>
      <c r="C252" t="str">
        <v>CP6</v>
      </c>
      <c r="D252">
        <v>-7</v>
      </c>
      <c r="E252">
        <v>7</v>
      </c>
      <c r="F252">
        <f>ABS(D252)+1</f>
      </c>
      <c r="G252" t="str">
        <v>← CP5</v>
      </c>
      <c r="H252" t="str">
        <v>EXTREME</v>
      </c>
      <c r="I252">
        <f>IF(F252=1,1,IF(F252&lt;=3,1,IF(F252&lt;=5,3,IF(F252&lt;=7,5,7))))</f>
      </c>
      <c r="J252">
        <f>IF(F252=1,1,IF(F252&lt;=3,3,IF(F252&lt;=5,5,IF(F252&lt;=7,7,9))))</f>
      </c>
      <c r="K252">
        <f>IF(F252=1,1,IF(F252&lt;=3,5,IF(F252&lt;=5,7,IF(F252&lt;=7,9,9))))</f>
      </c>
      <c r="L252" s="1">
        <f>IF(D252&gt;0,1/K252,I252)</f>
      </c>
      <c r="M252" s="1">
        <f>IF(D252&gt;0,1/J252,J252)</f>
      </c>
      <c r="N252" s="1">
        <f>IF(D252&gt;0,1/I252,K252)</f>
      </c>
    </row>
    <row r="253">
      <c r="A253">
        <v>28</v>
      </c>
      <c r="B253" t="str">
        <v>CP5</v>
      </c>
      <c r="C253" t="str">
        <v>CP7</v>
      </c>
      <c r="D253">
        <v>-7</v>
      </c>
      <c r="E253">
        <v>7</v>
      </c>
      <c r="F253">
        <f>ABS(D253)+1</f>
      </c>
      <c r="G253" t="str">
        <v>← CP5</v>
      </c>
      <c r="H253" t="str">
        <v>EXTREME</v>
      </c>
      <c r="I253">
        <f>IF(F253=1,1,IF(F253&lt;=3,1,IF(F253&lt;=5,3,IF(F253&lt;=7,5,7))))</f>
      </c>
      <c r="J253">
        <f>IF(F253=1,1,IF(F253&lt;=3,3,IF(F253&lt;=5,5,IF(F253&lt;=7,7,9))))</f>
      </c>
      <c r="K253">
        <f>IF(F253=1,1,IF(F253&lt;=3,5,IF(F253&lt;=5,7,IF(F253&lt;=7,9,9))))</f>
      </c>
      <c r="L253" s="1">
        <f>IF(D253&gt;0,1/K253,I253)</f>
      </c>
      <c r="M253" s="1">
        <f>IF(D253&gt;0,1/J253,J253)</f>
      </c>
      <c r="N253" s="1">
        <f>IF(D253&gt;0,1/I253,K253)</f>
      </c>
    </row>
    <row r="254">
      <c r="A254">
        <v>29</v>
      </c>
      <c r="B254" t="str">
        <v>CP5</v>
      </c>
      <c r="C254" t="str">
        <v>CP8</v>
      </c>
      <c r="D254">
        <v>-7</v>
      </c>
      <c r="E254">
        <v>7</v>
      </c>
      <c r="F254">
        <f>ABS(D254)+1</f>
      </c>
      <c r="G254" t="str">
        <v>← CP5</v>
      </c>
      <c r="H254" t="str">
        <v>EXTREME</v>
      </c>
      <c r="I254">
        <f>IF(F254=1,1,IF(F254&lt;=3,1,IF(F254&lt;=5,3,IF(F254&lt;=7,5,7))))</f>
      </c>
      <c r="J254">
        <f>IF(F254=1,1,IF(F254&lt;=3,3,IF(F254&lt;=5,5,IF(F254&lt;=7,7,9))))</f>
      </c>
      <c r="K254">
        <f>IF(F254=1,1,IF(F254&lt;=3,5,IF(F254&lt;=5,7,IF(F254&lt;=7,9,9))))</f>
      </c>
      <c r="L254" s="1">
        <f>IF(D254&gt;0,1/K254,I254)</f>
      </c>
      <c r="M254" s="1">
        <f>IF(D254&gt;0,1/J254,J254)</f>
      </c>
      <c r="N254" s="1">
        <f>IF(D254&gt;0,1/I254,K254)</f>
      </c>
    </row>
    <row r="255">
      <c r="A255">
        <v>30</v>
      </c>
      <c r="B255" t="str">
        <v>CP5</v>
      </c>
      <c r="C255" t="str">
        <v>CP9</v>
      </c>
      <c r="D255">
        <v>-7</v>
      </c>
      <c r="E255">
        <v>7</v>
      </c>
      <c r="F255">
        <f>ABS(D255)+1</f>
      </c>
      <c r="G255" t="str">
        <v>← CP5</v>
      </c>
      <c r="H255" t="str">
        <v>EXTREME</v>
      </c>
      <c r="I255">
        <f>IF(F255=1,1,IF(F255&lt;=3,1,IF(F255&lt;=5,3,IF(F255&lt;=7,5,7))))</f>
      </c>
      <c r="J255">
        <f>IF(F255=1,1,IF(F255&lt;=3,3,IF(F255&lt;=5,5,IF(F255&lt;=7,7,9))))</f>
      </c>
      <c r="K255">
        <f>IF(F255=1,1,IF(F255&lt;=3,5,IF(F255&lt;=5,7,IF(F255&lt;=7,9,9))))</f>
      </c>
      <c r="L255" s="1">
        <f>IF(D255&gt;0,1/K255,I255)</f>
      </c>
      <c r="M255" s="1">
        <f>IF(D255&gt;0,1/J255,J255)</f>
      </c>
      <c r="N255" s="1">
        <f>IF(D255&gt;0,1/I255,K255)</f>
      </c>
    </row>
    <row r="256">
      <c r="A256">
        <v>31</v>
      </c>
      <c r="B256" t="str">
        <v>CP6</v>
      </c>
      <c r="C256" t="str">
        <v>CP7</v>
      </c>
      <c r="D256">
        <v>-7</v>
      </c>
      <c r="E256">
        <v>7</v>
      </c>
      <c r="F256">
        <f>ABS(D256)+1</f>
      </c>
      <c r="G256" t="str">
        <v>← CP6</v>
      </c>
      <c r="H256" t="str">
        <v>EXTREME</v>
      </c>
      <c r="I256">
        <f>IF(F256=1,1,IF(F256&lt;=3,1,IF(F256&lt;=5,3,IF(F256&lt;=7,5,7))))</f>
      </c>
      <c r="J256">
        <f>IF(F256=1,1,IF(F256&lt;=3,3,IF(F256&lt;=5,5,IF(F256&lt;=7,7,9))))</f>
      </c>
      <c r="K256">
        <f>IF(F256=1,1,IF(F256&lt;=3,5,IF(F256&lt;=5,7,IF(F256&lt;=7,9,9))))</f>
      </c>
      <c r="L256" s="1">
        <f>IF(D256&gt;0,1/K256,I256)</f>
      </c>
      <c r="M256" s="1">
        <f>IF(D256&gt;0,1/J256,J256)</f>
      </c>
      <c r="N256" s="1">
        <f>IF(D256&gt;0,1/I256,K256)</f>
      </c>
    </row>
    <row r="257">
      <c r="A257">
        <v>32</v>
      </c>
      <c r="B257" t="str">
        <v>CP6</v>
      </c>
      <c r="C257" t="str">
        <v>CP8</v>
      </c>
      <c r="D257">
        <v>7</v>
      </c>
      <c r="E257">
        <v>7</v>
      </c>
      <c r="F257">
        <f>ABS(D257)+1</f>
      </c>
      <c r="G257" t="str">
        <v>→ CP8</v>
      </c>
      <c r="H257" t="str">
        <v>EXTREME</v>
      </c>
      <c r="I257">
        <f>IF(F257=1,1,IF(F257&lt;=3,1,IF(F257&lt;=5,3,IF(F257&lt;=7,5,7))))</f>
      </c>
      <c r="J257">
        <f>IF(F257=1,1,IF(F257&lt;=3,3,IF(F257&lt;=5,5,IF(F257&lt;=7,7,9))))</f>
      </c>
      <c r="K257">
        <f>IF(F257=1,1,IF(F257&lt;=3,5,IF(F257&lt;=5,7,IF(F257&lt;=7,9,9))))</f>
      </c>
      <c r="L257" s="1">
        <f>IF(D257&gt;0,1/K257,I257)</f>
      </c>
      <c r="M257" s="1">
        <f>IF(D257&gt;0,1/J257,J257)</f>
      </c>
      <c r="N257" s="1">
        <f>IF(D257&gt;0,1/I257,K257)</f>
      </c>
    </row>
    <row r="258">
      <c r="A258">
        <v>33</v>
      </c>
      <c r="B258" t="str">
        <v>CP6</v>
      </c>
      <c r="C258" t="str">
        <v>CP9</v>
      </c>
      <c r="D258">
        <v>7</v>
      </c>
      <c r="E258">
        <v>7</v>
      </c>
      <c r="F258">
        <f>ABS(D258)+1</f>
      </c>
      <c r="G258" t="str">
        <v>→ CP9</v>
      </c>
      <c r="H258" t="str">
        <v>EXTREME</v>
      </c>
      <c r="I258">
        <f>IF(F258=1,1,IF(F258&lt;=3,1,IF(F258&lt;=5,3,IF(F258&lt;=7,5,7))))</f>
      </c>
      <c r="J258">
        <f>IF(F258=1,1,IF(F258&lt;=3,3,IF(F258&lt;=5,5,IF(F258&lt;=7,7,9))))</f>
      </c>
      <c r="K258">
        <f>IF(F258=1,1,IF(F258&lt;=3,5,IF(F258&lt;=5,7,IF(F258&lt;=7,9,9))))</f>
      </c>
      <c r="L258" s="1">
        <f>IF(D258&gt;0,1/K258,I258)</f>
      </c>
      <c r="M258" s="1">
        <f>IF(D258&gt;0,1/J258,J258)</f>
      </c>
      <c r="N258" s="1">
        <f>IF(D258&gt;0,1/I258,K258)</f>
      </c>
    </row>
    <row r="259">
      <c r="A259">
        <v>34</v>
      </c>
      <c r="B259" t="str">
        <v>CP7</v>
      </c>
      <c r="C259" t="str">
        <v>CP8</v>
      </c>
      <c r="D259">
        <v>7</v>
      </c>
      <c r="E259">
        <v>7</v>
      </c>
      <c r="F259">
        <f>ABS(D259)+1</f>
      </c>
      <c r="G259" t="str">
        <v>→ CP8</v>
      </c>
      <c r="H259" t="str">
        <v>EXTREME</v>
      </c>
      <c r="I259">
        <f>IF(F259=1,1,IF(F259&lt;=3,1,IF(F259&lt;=5,3,IF(F259&lt;=7,5,7))))</f>
      </c>
      <c r="J259">
        <f>IF(F259=1,1,IF(F259&lt;=3,3,IF(F259&lt;=5,5,IF(F259&lt;=7,7,9))))</f>
      </c>
      <c r="K259">
        <f>IF(F259=1,1,IF(F259&lt;=3,5,IF(F259&lt;=5,7,IF(F259&lt;=7,9,9))))</f>
      </c>
      <c r="L259" s="1">
        <f>IF(D259&gt;0,1/K259,I259)</f>
      </c>
      <c r="M259" s="1">
        <f>IF(D259&gt;0,1/J259,J259)</f>
      </c>
      <c r="N259" s="1">
        <f>IF(D259&gt;0,1/I259,K259)</f>
      </c>
    </row>
    <row r="260">
      <c r="A260">
        <v>35</v>
      </c>
      <c r="B260" t="str">
        <v>CP7</v>
      </c>
      <c r="C260" t="str">
        <v>CP9</v>
      </c>
      <c r="D260">
        <v>7</v>
      </c>
      <c r="E260">
        <v>7</v>
      </c>
      <c r="F260">
        <f>ABS(D260)+1</f>
      </c>
      <c r="G260" t="str">
        <v>→ CP9</v>
      </c>
      <c r="H260" t="str">
        <v>EXTREME</v>
      </c>
      <c r="I260">
        <f>IF(F260=1,1,IF(F260&lt;=3,1,IF(F260&lt;=5,3,IF(F260&lt;=7,5,7))))</f>
      </c>
      <c r="J260">
        <f>IF(F260=1,1,IF(F260&lt;=3,3,IF(F260&lt;=5,5,IF(F260&lt;=7,7,9))))</f>
      </c>
      <c r="K260">
        <f>IF(F260=1,1,IF(F260&lt;=3,5,IF(F260&lt;=5,7,IF(F260&lt;=7,9,9))))</f>
      </c>
      <c r="L260" s="1">
        <f>IF(D260&gt;0,1/K260,I260)</f>
      </c>
      <c r="M260" s="1">
        <f>IF(D260&gt;0,1/J260,J260)</f>
      </c>
      <c r="N260" s="1">
        <f>IF(D260&gt;0,1/I260,K260)</f>
      </c>
    </row>
    <row r="261">
      <c r="A261">
        <v>36</v>
      </c>
      <c r="B261" t="str">
        <v>CP8</v>
      </c>
      <c r="C261" t="str">
        <v>CP9</v>
      </c>
      <c r="D261">
        <v>7</v>
      </c>
      <c r="E261">
        <v>7</v>
      </c>
      <c r="F261">
        <f>ABS(D261)+1</f>
      </c>
      <c r="G261" t="str">
        <v>→ CP9</v>
      </c>
      <c r="H261" t="str">
        <v>EXTREME</v>
      </c>
      <c r="I261">
        <f>IF(F261=1,1,IF(F261&lt;=3,1,IF(F261&lt;=5,3,IF(F261&lt;=7,5,7))))</f>
      </c>
      <c r="J261">
        <f>IF(F261=1,1,IF(F261&lt;=3,3,IF(F261&lt;=5,5,IF(F261&lt;=7,7,9))))</f>
      </c>
      <c r="K261">
        <f>IF(F261=1,1,IF(F261&lt;=3,5,IF(F261&lt;=5,7,IF(F261&lt;=7,9,9))))</f>
      </c>
      <c r="L261" s="1">
        <f>IF(D261&gt;0,1/K261,I261)</f>
      </c>
      <c r="M261" s="1">
        <f>IF(D261&gt;0,1/J261,J261)</f>
      </c>
      <c r="N261" s="1">
        <f>IF(D261&gt;0,1/I261,K261)</f>
      </c>
    </row>
    <row r="264">
      <c r="A264" t="str">
        <v>═══ RESPONDEN 7: Fadly Wahid  ═══</v>
      </c>
    </row>
    <row r="265">
      <c r="A265" t="str">
        <v xml:space="preserve">Jabatan: Fungsional Paramedik Veteriner  | Instansi: Dinas peternakan dan Kesehatan Hewan Provinsi Riau </v>
      </c>
    </row>
    <row r="266">
      <c r="A266" t="str">
        <v>No</v>
      </c>
      <c r="B266" t="str">
        <v>Krit. A</v>
      </c>
      <c r="C266" t="str">
        <v>Krit. B</v>
      </c>
      <c r="D266" t="str">
        <v>Slider</v>
      </c>
      <c r="E266" t="str">
        <v>|Slider|</v>
      </c>
      <c r="F266" t="str">
        <v>absVal</v>
      </c>
      <c r="G266" t="str">
        <v>Arah</v>
      </c>
      <c r="H266" t="str">
        <v>Fuzzy</v>
      </c>
      <c r="I266" t="str">
        <v>l_orig</v>
      </c>
      <c r="J266" t="str">
        <v>m_orig</v>
      </c>
      <c r="K266" t="str">
        <v>u_orig</v>
      </c>
      <c r="L266" t="str">
        <v>TFN_l</v>
      </c>
      <c r="M266" t="str">
        <v>TFN_m</v>
      </c>
      <c r="N266" t="str">
        <v>TFN_u</v>
      </c>
    </row>
    <row r="267">
      <c r="A267">
        <v>1</v>
      </c>
      <c r="B267" t="str">
        <v>CP1</v>
      </c>
      <c r="C267" t="str">
        <v>CP2</v>
      </c>
      <c r="D267">
        <v>5</v>
      </c>
      <c r="E267">
        <v>5</v>
      </c>
      <c r="F267">
        <f>ABS(D267)+1</f>
      </c>
      <c r="G267" t="str">
        <v>→ CP2</v>
      </c>
      <c r="H267" t="str">
        <v>VERY_STRONG</v>
      </c>
      <c r="I267">
        <f>IF(F267=1,1,IF(F267&lt;=3,1,IF(F267&lt;=5,3,IF(F267&lt;=7,5,7))))</f>
      </c>
      <c r="J267">
        <f>IF(F267=1,1,IF(F267&lt;=3,3,IF(F267&lt;=5,5,IF(F267&lt;=7,7,9))))</f>
      </c>
      <c r="K267">
        <f>IF(F267=1,1,IF(F267&lt;=3,5,IF(F267&lt;=5,7,IF(F267&lt;=7,9,9))))</f>
      </c>
      <c r="L267" s="1">
        <f>IF(D267&gt;0,1/K267,I267)</f>
      </c>
      <c r="M267" s="1">
        <f>IF(D267&gt;0,1/J267,J267)</f>
      </c>
      <c r="N267" s="1">
        <f>IF(D267&gt;0,1/I267,K267)</f>
      </c>
    </row>
    <row r="268">
      <c r="A268">
        <v>2</v>
      </c>
      <c r="B268" t="str">
        <v>CP1</v>
      </c>
      <c r="C268" t="str">
        <v>CP3</v>
      </c>
      <c r="D268">
        <v>3</v>
      </c>
      <c r="E268">
        <v>3</v>
      </c>
      <c r="F268">
        <f>ABS(D268)+1</f>
      </c>
      <c r="G268" t="str">
        <v>→ CP3</v>
      </c>
      <c r="H268" t="str">
        <v>STRONG</v>
      </c>
      <c r="I268">
        <f>IF(F268=1,1,IF(F268&lt;=3,1,IF(F268&lt;=5,3,IF(F268&lt;=7,5,7))))</f>
      </c>
      <c r="J268">
        <f>IF(F268=1,1,IF(F268&lt;=3,3,IF(F268&lt;=5,5,IF(F268&lt;=7,7,9))))</f>
      </c>
      <c r="K268">
        <f>IF(F268=1,1,IF(F268&lt;=3,5,IF(F268&lt;=5,7,IF(F268&lt;=7,9,9))))</f>
      </c>
      <c r="L268" s="1">
        <f>IF(D268&gt;0,1/K268,I268)</f>
      </c>
      <c r="M268" s="1">
        <f>IF(D268&gt;0,1/J268,J268)</f>
      </c>
      <c r="N268" s="1">
        <f>IF(D268&gt;0,1/I268,K268)</f>
      </c>
    </row>
    <row r="269">
      <c r="A269">
        <v>3</v>
      </c>
      <c r="B269" t="str">
        <v>CP1</v>
      </c>
      <c r="C269" t="str">
        <v>CP4</v>
      </c>
      <c r="D269">
        <v>4</v>
      </c>
      <c r="E269">
        <v>4</v>
      </c>
      <c r="F269">
        <f>ABS(D269)+1</f>
      </c>
      <c r="G269" t="str">
        <v>→ CP4</v>
      </c>
      <c r="H269" t="str">
        <v>STRONG</v>
      </c>
      <c r="I269">
        <f>IF(F269=1,1,IF(F269&lt;=3,1,IF(F269&lt;=5,3,IF(F269&lt;=7,5,7))))</f>
      </c>
      <c r="J269">
        <f>IF(F269=1,1,IF(F269&lt;=3,3,IF(F269&lt;=5,5,IF(F269&lt;=7,7,9))))</f>
      </c>
      <c r="K269">
        <f>IF(F269=1,1,IF(F269&lt;=3,5,IF(F269&lt;=5,7,IF(F269&lt;=7,9,9))))</f>
      </c>
      <c r="L269" s="1">
        <f>IF(D269&gt;0,1/K269,I269)</f>
      </c>
      <c r="M269" s="1">
        <f>IF(D269&gt;0,1/J269,J269)</f>
      </c>
      <c r="N269" s="1">
        <f>IF(D269&gt;0,1/I269,K269)</f>
      </c>
    </row>
    <row r="270">
      <c r="A270">
        <v>4</v>
      </c>
      <c r="B270" t="str">
        <v>CP1</v>
      </c>
      <c r="C270" t="str">
        <v>CP5</v>
      </c>
      <c r="D270">
        <v>2</v>
      </c>
      <c r="E270">
        <v>2</v>
      </c>
      <c r="F270">
        <f>ABS(D270)+1</f>
      </c>
      <c r="G270" t="str">
        <v>→ CP5</v>
      </c>
      <c r="H270" t="str">
        <v>MODERATE</v>
      </c>
      <c r="I270">
        <f>IF(F270=1,1,IF(F270&lt;=3,1,IF(F270&lt;=5,3,IF(F270&lt;=7,5,7))))</f>
      </c>
      <c r="J270">
        <f>IF(F270=1,1,IF(F270&lt;=3,3,IF(F270&lt;=5,5,IF(F270&lt;=7,7,9))))</f>
      </c>
      <c r="K270">
        <f>IF(F270=1,1,IF(F270&lt;=3,5,IF(F270&lt;=5,7,IF(F270&lt;=7,9,9))))</f>
      </c>
      <c r="L270" s="1">
        <f>IF(D270&gt;0,1/K270,I270)</f>
      </c>
      <c r="M270" s="1">
        <f>IF(D270&gt;0,1/J270,J270)</f>
      </c>
      <c r="N270" s="1">
        <f>IF(D270&gt;0,1/I270,K270)</f>
      </c>
    </row>
    <row r="271">
      <c r="A271">
        <v>5</v>
      </c>
      <c r="B271" t="str">
        <v>CP1</v>
      </c>
      <c r="C271" t="str">
        <v>CP6</v>
      </c>
      <c r="D271">
        <v>4</v>
      </c>
      <c r="E271">
        <v>4</v>
      </c>
      <c r="F271">
        <f>ABS(D271)+1</f>
      </c>
      <c r="G271" t="str">
        <v>→ CP6</v>
      </c>
      <c r="H271" t="str">
        <v>STRONG</v>
      </c>
      <c r="I271">
        <f>IF(F271=1,1,IF(F271&lt;=3,1,IF(F271&lt;=5,3,IF(F271&lt;=7,5,7))))</f>
      </c>
      <c r="J271">
        <f>IF(F271=1,1,IF(F271&lt;=3,3,IF(F271&lt;=5,5,IF(F271&lt;=7,7,9))))</f>
      </c>
      <c r="K271">
        <f>IF(F271=1,1,IF(F271&lt;=3,5,IF(F271&lt;=5,7,IF(F271&lt;=7,9,9))))</f>
      </c>
      <c r="L271" s="1">
        <f>IF(D271&gt;0,1/K271,I271)</f>
      </c>
      <c r="M271" s="1">
        <f>IF(D271&gt;0,1/J271,J271)</f>
      </c>
      <c r="N271" s="1">
        <f>IF(D271&gt;0,1/I271,K271)</f>
      </c>
    </row>
    <row r="272">
      <c r="A272">
        <v>6</v>
      </c>
      <c r="B272" t="str">
        <v>CP1</v>
      </c>
      <c r="C272" t="str">
        <v>CP7</v>
      </c>
      <c r="D272">
        <v>5</v>
      </c>
      <c r="E272">
        <v>5</v>
      </c>
      <c r="F272">
        <f>ABS(D272)+1</f>
      </c>
      <c r="G272" t="str">
        <v>→ CP7</v>
      </c>
      <c r="H272" t="str">
        <v>VERY_STRONG</v>
      </c>
      <c r="I272">
        <f>IF(F272=1,1,IF(F272&lt;=3,1,IF(F272&lt;=5,3,IF(F272&lt;=7,5,7))))</f>
      </c>
      <c r="J272">
        <f>IF(F272=1,1,IF(F272&lt;=3,3,IF(F272&lt;=5,5,IF(F272&lt;=7,7,9))))</f>
      </c>
      <c r="K272">
        <f>IF(F272=1,1,IF(F272&lt;=3,5,IF(F272&lt;=5,7,IF(F272&lt;=7,9,9))))</f>
      </c>
      <c r="L272" s="1">
        <f>IF(D272&gt;0,1/K272,I272)</f>
      </c>
      <c r="M272" s="1">
        <f>IF(D272&gt;0,1/J272,J272)</f>
      </c>
      <c r="N272" s="1">
        <f>IF(D272&gt;0,1/I272,K272)</f>
      </c>
    </row>
    <row r="273">
      <c r="A273">
        <v>7</v>
      </c>
      <c r="B273" t="str">
        <v>CP1</v>
      </c>
      <c r="C273" t="str">
        <v>CP8</v>
      </c>
      <c r="D273">
        <v>3</v>
      </c>
      <c r="E273">
        <v>3</v>
      </c>
      <c r="F273">
        <f>ABS(D273)+1</f>
      </c>
      <c r="G273" t="str">
        <v>→ CP8</v>
      </c>
      <c r="H273" t="str">
        <v>STRONG</v>
      </c>
      <c r="I273">
        <f>IF(F273=1,1,IF(F273&lt;=3,1,IF(F273&lt;=5,3,IF(F273&lt;=7,5,7))))</f>
      </c>
      <c r="J273">
        <f>IF(F273=1,1,IF(F273&lt;=3,3,IF(F273&lt;=5,5,IF(F273&lt;=7,7,9))))</f>
      </c>
      <c r="K273">
        <f>IF(F273=1,1,IF(F273&lt;=3,5,IF(F273&lt;=5,7,IF(F273&lt;=7,9,9))))</f>
      </c>
      <c r="L273" s="1">
        <f>IF(D273&gt;0,1/K273,I273)</f>
      </c>
      <c r="M273" s="1">
        <f>IF(D273&gt;0,1/J273,J273)</f>
      </c>
      <c r="N273" s="1">
        <f>IF(D273&gt;0,1/I273,K273)</f>
      </c>
    </row>
    <row r="274">
      <c r="A274">
        <v>8</v>
      </c>
      <c r="B274" t="str">
        <v>CP1</v>
      </c>
      <c r="C274" t="str">
        <v>CP9</v>
      </c>
      <c r="D274">
        <v>4</v>
      </c>
      <c r="E274">
        <v>4</v>
      </c>
      <c r="F274">
        <f>ABS(D274)+1</f>
      </c>
      <c r="G274" t="str">
        <v>→ CP9</v>
      </c>
      <c r="H274" t="str">
        <v>STRONG</v>
      </c>
      <c r="I274">
        <f>IF(F274=1,1,IF(F274&lt;=3,1,IF(F274&lt;=5,3,IF(F274&lt;=7,5,7))))</f>
      </c>
      <c r="J274">
        <f>IF(F274=1,1,IF(F274&lt;=3,3,IF(F274&lt;=5,5,IF(F274&lt;=7,7,9))))</f>
      </c>
      <c r="K274">
        <f>IF(F274=1,1,IF(F274&lt;=3,5,IF(F274&lt;=5,7,IF(F274&lt;=7,9,9))))</f>
      </c>
      <c r="L274" s="1">
        <f>IF(D274&gt;0,1/K274,I274)</f>
      </c>
      <c r="M274" s="1">
        <f>IF(D274&gt;0,1/J274,J274)</f>
      </c>
      <c r="N274" s="1">
        <f>IF(D274&gt;0,1/I274,K274)</f>
      </c>
    </row>
    <row r="275">
      <c r="A275">
        <v>9</v>
      </c>
      <c r="B275" t="str">
        <v>CP2</v>
      </c>
      <c r="C275" t="str">
        <v>CP3</v>
      </c>
      <c r="D275">
        <v>-2</v>
      </c>
      <c r="E275">
        <v>2</v>
      </c>
      <c r="F275">
        <f>ABS(D275)+1</f>
      </c>
      <c r="G275" t="str">
        <v>← CP2</v>
      </c>
      <c r="H275" t="str">
        <v>MODERATE</v>
      </c>
      <c r="I275">
        <f>IF(F275=1,1,IF(F275&lt;=3,1,IF(F275&lt;=5,3,IF(F275&lt;=7,5,7))))</f>
      </c>
      <c r="J275">
        <f>IF(F275=1,1,IF(F275&lt;=3,3,IF(F275&lt;=5,5,IF(F275&lt;=7,7,9))))</f>
      </c>
      <c r="K275">
        <f>IF(F275=1,1,IF(F275&lt;=3,5,IF(F275&lt;=5,7,IF(F275&lt;=7,9,9))))</f>
      </c>
      <c r="L275" s="1">
        <f>IF(D275&gt;0,1/K275,I275)</f>
      </c>
      <c r="M275" s="1">
        <f>IF(D275&gt;0,1/J275,J275)</f>
      </c>
      <c r="N275" s="1">
        <f>IF(D275&gt;0,1/I275,K275)</f>
      </c>
    </row>
    <row r="276">
      <c r="A276">
        <v>10</v>
      </c>
      <c r="B276" t="str">
        <v>CP2</v>
      </c>
      <c r="C276" t="str">
        <v>CP4</v>
      </c>
      <c r="D276">
        <v>-1</v>
      </c>
      <c r="E276">
        <v>1</v>
      </c>
      <c r="F276">
        <f>ABS(D276)+1</f>
      </c>
      <c r="G276" t="str">
        <v>← CP2</v>
      </c>
      <c r="H276" t="str">
        <v>MODERATE</v>
      </c>
      <c r="I276">
        <f>IF(F276=1,1,IF(F276&lt;=3,1,IF(F276&lt;=5,3,IF(F276&lt;=7,5,7))))</f>
      </c>
      <c r="J276">
        <f>IF(F276=1,1,IF(F276&lt;=3,3,IF(F276&lt;=5,5,IF(F276&lt;=7,7,9))))</f>
      </c>
      <c r="K276">
        <f>IF(F276=1,1,IF(F276&lt;=3,5,IF(F276&lt;=5,7,IF(F276&lt;=7,9,9))))</f>
      </c>
      <c r="L276" s="1">
        <f>IF(D276&gt;0,1/K276,I276)</f>
      </c>
      <c r="M276" s="1">
        <f>IF(D276&gt;0,1/J276,J276)</f>
      </c>
      <c r="N276" s="1">
        <f>IF(D276&gt;0,1/I276,K276)</f>
      </c>
    </row>
    <row r="277">
      <c r="A277">
        <v>11</v>
      </c>
      <c r="B277" t="str">
        <v>CP2</v>
      </c>
      <c r="C277" t="str">
        <v>CP5</v>
      </c>
      <c r="D277">
        <v>-1</v>
      </c>
      <c r="E277">
        <v>1</v>
      </c>
      <c r="F277">
        <f>ABS(D277)+1</f>
      </c>
      <c r="G277" t="str">
        <v>← CP2</v>
      </c>
      <c r="H277" t="str">
        <v>MODERATE</v>
      </c>
      <c r="I277">
        <f>IF(F277=1,1,IF(F277&lt;=3,1,IF(F277&lt;=5,3,IF(F277&lt;=7,5,7))))</f>
      </c>
      <c r="J277">
        <f>IF(F277=1,1,IF(F277&lt;=3,3,IF(F277&lt;=5,5,IF(F277&lt;=7,7,9))))</f>
      </c>
      <c r="K277">
        <f>IF(F277=1,1,IF(F277&lt;=3,5,IF(F277&lt;=5,7,IF(F277&lt;=7,9,9))))</f>
      </c>
      <c r="L277" s="1">
        <f>IF(D277&gt;0,1/K277,I277)</f>
      </c>
      <c r="M277" s="1">
        <f>IF(D277&gt;0,1/J277,J277)</f>
      </c>
      <c r="N277" s="1">
        <f>IF(D277&gt;0,1/I277,K277)</f>
      </c>
    </row>
    <row r="278">
      <c r="A278">
        <v>12</v>
      </c>
      <c r="B278" t="str">
        <v>CP2</v>
      </c>
      <c r="C278" t="str">
        <v>CP6</v>
      </c>
      <c r="D278">
        <v>-2</v>
      </c>
      <c r="E278">
        <v>2</v>
      </c>
      <c r="F278">
        <f>ABS(D278)+1</f>
      </c>
      <c r="G278" t="str">
        <v>← CP2</v>
      </c>
      <c r="H278" t="str">
        <v>MODERATE</v>
      </c>
      <c r="I278">
        <f>IF(F278=1,1,IF(F278&lt;=3,1,IF(F278&lt;=5,3,IF(F278&lt;=7,5,7))))</f>
      </c>
      <c r="J278">
        <f>IF(F278=1,1,IF(F278&lt;=3,3,IF(F278&lt;=5,5,IF(F278&lt;=7,7,9))))</f>
      </c>
      <c r="K278">
        <f>IF(F278=1,1,IF(F278&lt;=3,5,IF(F278&lt;=5,7,IF(F278&lt;=7,9,9))))</f>
      </c>
      <c r="L278" s="1">
        <f>IF(D278&gt;0,1/K278,I278)</f>
      </c>
      <c r="M278" s="1">
        <f>IF(D278&gt;0,1/J278,J278)</f>
      </c>
      <c r="N278" s="1">
        <f>IF(D278&gt;0,1/I278,K278)</f>
      </c>
    </row>
    <row r="279">
      <c r="A279">
        <v>13</v>
      </c>
      <c r="B279" t="str">
        <v>CP2</v>
      </c>
      <c r="C279" t="str">
        <v>CP7</v>
      </c>
      <c r="D279">
        <v>-1</v>
      </c>
      <c r="E279">
        <v>1</v>
      </c>
      <c r="F279">
        <f>ABS(D279)+1</f>
      </c>
      <c r="G279" t="str">
        <v>← CP2</v>
      </c>
      <c r="H279" t="str">
        <v>MODERATE</v>
      </c>
      <c r="I279">
        <f>IF(F279=1,1,IF(F279&lt;=3,1,IF(F279&lt;=5,3,IF(F279&lt;=7,5,7))))</f>
      </c>
      <c r="J279">
        <f>IF(F279=1,1,IF(F279&lt;=3,3,IF(F279&lt;=5,5,IF(F279&lt;=7,7,9))))</f>
      </c>
      <c r="K279">
        <f>IF(F279=1,1,IF(F279&lt;=3,5,IF(F279&lt;=5,7,IF(F279&lt;=7,9,9))))</f>
      </c>
      <c r="L279" s="1">
        <f>IF(D279&gt;0,1/K279,I279)</f>
      </c>
      <c r="M279" s="1">
        <f>IF(D279&gt;0,1/J279,J279)</f>
      </c>
      <c r="N279" s="1">
        <f>IF(D279&gt;0,1/I279,K279)</f>
      </c>
    </row>
    <row r="280">
      <c r="A280">
        <v>14</v>
      </c>
      <c r="B280" t="str">
        <v>CP2</v>
      </c>
      <c r="C280" t="str">
        <v>CP8</v>
      </c>
      <c r="D280">
        <v>-3</v>
      </c>
      <c r="E280">
        <v>3</v>
      </c>
      <c r="F280">
        <f>ABS(D280)+1</f>
      </c>
      <c r="G280" t="str">
        <v>← CP2</v>
      </c>
      <c r="H280" t="str">
        <v>STRONG</v>
      </c>
      <c r="I280">
        <f>IF(F280=1,1,IF(F280&lt;=3,1,IF(F280&lt;=5,3,IF(F280&lt;=7,5,7))))</f>
      </c>
      <c r="J280">
        <f>IF(F280=1,1,IF(F280&lt;=3,3,IF(F280&lt;=5,5,IF(F280&lt;=7,7,9))))</f>
      </c>
      <c r="K280">
        <f>IF(F280=1,1,IF(F280&lt;=3,5,IF(F280&lt;=5,7,IF(F280&lt;=7,9,9))))</f>
      </c>
      <c r="L280" s="1">
        <f>IF(D280&gt;0,1/K280,I280)</f>
      </c>
      <c r="M280" s="1">
        <f>IF(D280&gt;0,1/J280,J280)</f>
      </c>
      <c r="N280" s="1">
        <f>IF(D280&gt;0,1/I280,K280)</f>
      </c>
    </row>
    <row r="281">
      <c r="A281">
        <v>15</v>
      </c>
      <c r="B281" t="str">
        <v>CP2</v>
      </c>
      <c r="C281" t="str">
        <v>CP9</v>
      </c>
      <c r="D281">
        <v>-2</v>
      </c>
      <c r="E281">
        <v>2</v>
      </c>
      <c r="F281">
        <f>ABS(D281)+1</f>
      </c>
      <c r="G281" t="str">
        <v>← CP2</v>
      </c>
      <c r="H281" t="str">
        <v>MODERATE</v>
      </c>
      <c r="I281">
        <f>IF(F281=1,1,IF(F281&lt;=3,1,IF(F281&lt;=5,3,IF(F281&lt;=7,5,7))))</f>
      </c>
      <c r="J281">
        <f>IF(F281=1,1,IF(F281&lt;=3,3,IF(F281&lt;=5,5,IF(F281&lt;=7,7,9))))</f>
      </c>
      <c r="K281">
        <f>IF(F281=1,1,IF(F281&lt;=3,5,IF(F281&lt;=5,7,IF(F281&lt;=7,9,9))))</f>
      </c>
      <c r="L281" s="1">
        <f>IF(D281&gt;0,1/K281,I281)</f>
      </c>
      <c r="M281" s="1">
        <f>IF(D281&gt;0,1/J281,J281)</f>
      </c>
      <c r="N281" s="1">
        <f>IF(D281&gt;0,1/I281,K281)</f>
      </c>
    </row>
    <row r="282">
      <c r="A282">
        <v>16</v>
      </c>
      <c r="B282" t="str">
        <v>CP3</v>
      </c>
      <c r="C282" t="str">
        <v>CP4</v>
      </c>
      <c r="D282">
        <v>4</v>
      </c>
      <c r="E282">
        <v>4</v>
      </c>
      <c r="F282">
        <f>ABS(D282)+1</f>
      </c>
      <c r="G282" t="str">
        <v>→ CP4</v>
      </c>
      <c r="H282" t="str">
        <v>STRONG</v>
      </c>
      <c r="I282">
        <f>IF(F282=1,1,IF(F282&lt;=3,1,IF(F282&lt;=5,3,IF(F282&lt;=7,5,7))))</f>
      </c>
      <c r="J282">
        <f>IF(F282=1,1,IF(F282&lt;=3,3,IF(F282&lt;=5,5,IF(F282&lt;=7,7,9))))</f>
      </c>
      <c r="K282">
        <f>IF(F282=1,1,IF(F282&lt;=3,5,IF(F282&lt;=5,7,IF(F282&lt;=7,9,9))))</f>
      </c>
      <c r="L282" s="1">
        <f>IF(D282&gt;0,1/K282,I282)</f>
      </c>
      <c r="M282" s="1">
        <f>IF(D282&gt;0,1/J282,J282)</f>
      </c>
      <c r="N282" s="1">
        <f>IF(D282&gt;0,1/I282,K282)</f>
      </c>
    </row>
    <row r="283">
      <c r="A283">
        <v>17</v>
      </c>
      <c r="B283" t="str">
        <v>CP3</v>
      </c>
      <c r="C283" t="str">
        <v>CP5</v>
      </c>
      <c r="D283">
        <v>2</v>
      </c>
      <c r="E283">
        <v>2</v>
      </c>
      <c r="F283">
        <f>ABS(D283)+1</f>
      </c>
      <c r="G283" t="str">
        <v>→ CP5</v>
      </c>
      <c r="H283" t="str">
        <v>MODERATE</v>
      </c>
      <c r="I283">
        <f>IF(F283=1,1,IF(F283&lt;=3,1,IF(F283&lt;=5,3,IF(F283&lt;=7,5,7))))</f>
      </c>
      <c r="J283">
        <f>IF(F283=1,1,IF(F283&lt;=3,3,IF(F283&lt;=5,5,IF(F283&lt;=7,7,9))))</f>
      </c>
      <c r="K283">
        <f>IF(F283=1,1,IF(F283&lt;=3,5,IF(F283&lt;=5,7,IF(F283&lt;=7,9,9))))</f>
      </c>
      <c r="L283" s="1">
        <f>IF(D283&gt;0,1/K283,I283)</f>
      </c>
      <c r="M283" s="1">
        <f>IF(D283&gt;0,1/J283,J283)</f>
      </c>
      <c r="N283" s="1">
        <f>IF(D283&gt;0,1/I283,K283)</f>
      </c>
    </row>
    <row r="284">
      <c r="A284">
        <v>18</v>
      </c>
      <c r="B284" t="str">
        <v>CP3</v>
      </c>
      <c r="C284" t="str">
        <v>CP6</v>
      </c>
      <c r="D284">
        <v>3</v>
      </c>
      <c r="E284">
        <v>3</v>
      </c>
      <c r="F284">
        <f>ABS(D284)+1</f>
      </c>
      <c r="G284" t="str">
        <v>→ CP6</v>
      </c>
      <c r="H284" t="str">
        <v>STRONG</v>
      </c>
      <c r="I284">
        <f>IF(F284=1,1,IF(F284&lt;=3,1,IF(F284&lt;=5,3,IF(F284&lt;=7,5,7))))</f>
      </c>
      <c r="J284">
        <f>IF(F284=1,1,IF(F284&lt;=3,3,IF(F284&lt;=5,5,IF(F284&lt;=7,7,9))))</f>
      </c>
      <c r="K284">
        <f>IF(F284=1,1,IF(F284&lt;=3,5,IF(F284&lt;=5,7,IF(F284&lt;=7,9,9))))</f>
      </c>
      <c r="L284" s="1">
        <f>IF(D284&gt;0,1/K284,I284)</f>
      </c>
      <c r="M284" s="1">
        <f>IF(D284&gt;0,1/J284,J284)</f>
      </c>
      <c r="N284" s="1">
        <f>IF(D284&gt;0,1/I284,K284)</f>
      </c>
    </row>
    <row r="285">
      <c r="A285">
        <v>19</v>
      </c>
      <c r="B285" t="str">
        <v>CP3</v>
      </c>
      <c r="C285" t="str">
        <v>CP7</v>
      </c>
      <c r="D285">
        <v>3</v>
      </c>
      <c r="E285">
        <v>3</v>
      </c>
      <c r="F285">
        <f>ABS(D285)+1</f>
      </c>
      <c r="G285" t="str">
        <v>→ CP7</v>
      </c>
      <c r="H285" t="str">
        <v>STRONG</v>
      </c>
      <c r="I285">
        <f>IF(F285=1,1,IF(F285&lt;=3,1,IF(F285&lt;=5,3,IF(F285&lt;=7,5,7))))</f>
      </c>
      <c r="J285">
        <f>IF(F285=1,1,IF(F285&lt;=3,3,IF(F285&lt;=5,5,IF(F285&lt;=7,7,9))))</f>
      </c>
      <c r="K285">
        <f>IF(F285=1,1,IF(F285&lt;=3,5,IF(F285&lt;=5,7,IF(F285&lt;=7,9,9))))</f>
      </c>
      <c r="L285" s="1">
        <f>IF(D285&gt;0,1/K285,I285)</f>
      </c>
      <c r="M285" s="1">
        <f>IF(D285&gt;0,1/J285,J285)</f>
      </c>
      <c r="N285" s="1">
        <f>IF(D285&gt;0,1/I285,K285)</f>
      </c>
    </row>
    <row r="286">
      <c r="A286">
        <v>20</v>
      </c>
      <c r="B286" t="str">
        <v>CP3</v>
      </c>
      <c r="C286" t="str">
        <v>CP8</v>
      </c>
      <c r="D286">
        <v>2</v>
      </c>
      <c r="E286">
        <v>2</v>
      </c>
      <c r="F286">
        <f>ABS(D286)+1</f>
      </c>
      <c r="G286" t="str">
        <v>→ CP8</v>
      </c>
      <c r="H286" t="str">
        <v>MODERATE</v>
      </c>
      <c r="I286">
        <f>IF(F286=1,1,IF(F286&lt;=3,1,IF(F286&lt;=5,3,IF(F286&lt;=7,5,7))))</f>
      </c>
      <c r="J286">
        <f>IF(F286=1,1,IF(F286&lt;=3,3,IF(F286&lt;=5,5,IF(F286&lt;=7,7,9))))</f>
      </c>
      <c r="K286">
        <f>IF(F286=1,1,IF(F286&lt;=3,5,IF(F286&lt;=5,7,IF(F286&lt;=7,9,9))))</f>
      </c>
      <c r="L286" s="1">
        <f>IF(D286&gt;0,1/K286,I286)</f>
      </c>
      <c r="M286" s="1">
        <f>IF(D286&gt;0,1/J286,J286)</f>
      </c>
      <c r="N286" s="1">
        <f>IF(D286&gt;0,1/I286,K286)</f>
      </c>
    </row>
    <row r="287">
      <c r="A287">
        <v>21</v>
      </c>
      <c r="B287" t="str">
        <v>CP3</v>
      </c>
      <c r="C287" t="str">
        <v>CP9</v>
      </c>
      <c r="D287">
        <v>2</v>
      </c>
      <c r="E287">
        <v>2</v>
      </c>
      <c r="F287">
        <f>ABS(D287)+1</f>
      </c>
      <c r="G287" t="str">
        <v>→ CP9</v>
      </c>
      <c r="H287" t="str">
        <v>MODERATE</v>
      </c>
      <c r="I287">
        <f>IF(F287=1,1,IF(F287&lt;=3,1,IF(F287&lt;=5,3,IF(F287&lt;=7,5,7))))</f>
      </c>
      <c r="J287">
        <f>IF(F287=1,1,IF(F287&lt;=3,3,IF(F287&lt;=5,5,IF(F287&lt;=7,7,9))))</f>
      </c>
      <c r="K287">
        <f>IF(F287=1,1,IF(F287&lt;=3,5,IF(F287&lt;=5,7,IF(F287&lt;=7,9,9))))</f>
      </c>
      <c r="L287" s="1">
        <f>IF(D287&gt;0,1/K287,I287)</f>
      </c>
      <c r="M287" s="1">
        <f>IF(D287&gt;0,1/J287,J287)</f>
      </c>
      <c r="N287" s="1">
        <f>IF(D287&gt;0,1/I287,K287)</f>
      </c>
    </row>
    <row r="288">
      <c r="A288">
        <v>22</v>
      </c>
      <c r="B288" t="str">
        <v>CP4</v>
      </c>
      <c r="C288" t="str">
        <v>CP5</v>
      </c>
      <c r="D288">
        <v>2</v>
      </c>
      <c r="E288">
        <v>2</v>
      </c>
      <c r="F288">
        <f>ABS(D288)+1</f>
      </c>
      <c r="G288" t="str">
        <v>→ CP5</v>
      </c>
      <c r="H288" t="str">
        <v>MODERATE</v>
      </c>
      <c r="I288">
        <f>IF(F288=1,1,IF(F288&lt;=3,1,IF(F288&lt;=5,3,IF(F288&lt;=7,5,7))))</f>
      </c>
      <c r="J288">
        <f>IF(F288=1,1,IF(F288&lt;=3,3,IF(F288&lt;=5,5,IF(F288&lt;=7,7,9))))</f>
      </c>
      <c r="K288">
        <f>IF(F288=1,1,IF(F288&lt;=3,5,IF(F288&lt;=5,7,IF(F288&lt;=7,9,9))))</f>
      </c>
      <c r="L288" s="1">
        <f>IF(D288&gt;0,1/K288,I288)</f>
      </c>
      <c r="M288" s="1">
        <f>IF(D288&gt;0,1/J288,J288)</f>
      </c>
      <c r="N288" s="1">
        <f>IF(D288&gt;0,1/I288,K288)</f>
      </c>
    </row>
    <row r="289">
      <c r="A289">
        <v>23</v>
      </c>
      <c r="B289" t="str">
        <v>CP4</v>
      </c>
      <c r="C289" t="str">
        <v>CP6</v>
      </c>
      <c r="D289">
        <v>4</v>
      </c>
      <c r="E289">
        <v>4</v>
      </c>
      <c r="F289">
        <f>ABS(D289)+1</f>
      </c>
      <c r="G289" t="str">
        <v>→ CP6</v>
      </c>
      <c r="H289" t="str">
        <v>STRONG</v>
      </c>
      <c r="I289">
        <f>IF(F289=1,1,IF(F289&lt;=3,1,IF(F289&lt;=5,3,IF(F289&lt;=7,5,7))))</f>
      </c>
      <c r="J289">
        <f>IF(F289=1,1,IF(F289&lt;=3,3,IF(F289&lt;=5,5,IF(F289&lt;=7,7,9))))</f>
      </c>
      <c r="K289">
        <f>IF(F289=1,1,IF(F289&lt;=3,5,IF(F289&lt;=5,7,IF(F289&lt;=7,9,9))))</f>
      </c>
      <c r="L289" s="1">
        <f>IF(D289&gt;0,1/K289,I289)</f>
      </c>
      <c r="M289" s="1">
        <f>IF(D289&gt;0,1/J289,J289)</f>
      </c>
      <c r="N289" s="1">
        <f>IF(D289&gt;0,1/I289,K289)</f>
      </c>
    </row>
    <row r="290">
      <c r="A290">
        <v>24</v>
      </c>
      <c r="B290" t="str">
        <v>CP4</v>
      </c>
      <c r="C290" t="str">
        <v>CP7</v>
      </c>
      <c r="D290">
        <v>4</v>
      </c>
      <c r="E290">
        <v>4</v>
      </c>
      <c r="F290">
        <f>ABS(D290)+1</f>
      </c>
      <c r="G290" t="str">
        <v>→ CP7</v>
      </c>
      <c r="H290" t="str">
        <v>STRONG</v>
      </c>
      <c r="I290">
        <f>IF(F290=1,1,IF(F290&lt;=3,1,IF(F290&lt;=5,3,IF(F290&lt;=7,5,7))))</f>
      </c>
      <c r="J290">
        <f>IF(F290=1,1,IF(F290&lt;=3,3,IF(F290&lt;=5,5,IF(F290&lt;=7,7,9))))</f>
      </c>
      <c r="K290">
        <f>IF(F290=1,1,IF(F290&lt;=3,5,IF(F290&lt;=5,7,IF(F290&lt;=7,9,9))))</f>
      </c>
      <c r="L290" s="1">
        <f>IF(D290&gt;0,1/K290,I290)</f>
      </c>
      <c r="M290" s="1">
        <f>IF(D290&gt;0,1/J290,J290)</f>
      </c>
      <c r="N290" s="1">
        <f>IF(D290&gt;0,1/I290,K290)</f>
      </c>
    </row>
    <row r="291">
      <c r="A291">
        <v>25</v>
      </c>
      <c r="B291" t="str">
        <v>CP4</v>
      </c>
      <c r="C291" t="str">
        <v>CP8</v>
      </c>
      <c r="D291">
        <v>2</v>
      </c>
      <c r="E291">
        <v>2</v>
      </c>
      <c r="F291">
        <f>ABS(D291)+1</f>
      </c>
      <c r="G291" t="str">
        <v>→ CP8</v>
      </c>
      <c r="H291" t="str">
        <v>MODERATE</v>
      </c>
      <c r="I291">
        <f>IF(F291=1,1,IF(F291&lt;=3,1,IF(F291&lt;=5,3,IF(F291&lt;=7,5,7))))</f>
      </c>
      <c r="J291">
        <f>IF(F291=1,1,IF(F291&lt;=3,3,IF(F291&lt;=5,5,IF(F291&lt;=7,7,9))))</f>
      </c>
      <c r="K291">
        <f>IF(F291=1,1,IF(F291&lt;=3,5,IF(F291&lt;=5,7,IF(F291&lt;=7,9,9))))</f>
      </c>
      <c r="L291" s="1">
        <f>IF(D291&gt;0,1/K291,I291)</f>
      </c>
      <c r="M291" s="1">
        <f>IF(D291&gt;0,1/J291,J291)</f>
      </c>
      <c r="N291" s="1">
        <f>IF(D291&gt;0,1/I291,K291)</f>
      </c>
    </row>
    <row r="292">
      <c r="A292">
        <v>26</v>
      </c>
      <c r="B292" t="str">
        <v>CP4</v>
      </c>
      <c r="C292" t="str">
        <v>CP9</v>
      </c>
      <c r="D292">
        <v>3</v>
      </c>
      <c r="E292">
        <v>3</v>
      </c>
      <c r="F292">
        <f>ABS(D292)+1</f>
      </c>
      <c r="G292" t="str">
        <v>→ CP9</v>
      </c>
      <c r="H292" t="str">
        <v>STRONG</v>
      </c>
      <c r="I292">
        <f>IF(F292=1,1,IF(F292&lt;=3,1,IF(F292&lt;=5,3,IF(F292&lt;=7,5,7))))</f>
      </c>
      <c r="J292">
        <f>IF(F292=1,1,IF(F292&lt;=3,3,IF(F292&lt;=5,5,IF(F292&lt;=7,7,9))))</f>
      </c>
      <c r="K292">
        <f>IF(F292=1,1,IF(F292&lt;=3,5,IF(F292&lt;=5,7,IF(F292&lt;=7,9,9))))</f>
      </c>
      <c r="L292" s="1">
        <f>IF(D292&gt;0,1/K292,I292)</f>
      </c>
      <c r="M292" s="1">
        <f>IF(D292&gt;0,1/J292,J292)</f>
      </c>
      <c r="N292" s="1">
        <f>IF(D292&gt;0,1/I292,K292)</f>
      </c>
    </row>
    <row r="293">
      <c r="A293">
        <v>27</v>
      </c>
      <c r="B293" t="str">
        <v>CP5</v>
      </c>
      <c r="C293" t="str">
        <v>CP6</v>
      </c>
      <c r="D293">
        <v>3</v>
      </c>
      <c r="E293">
        <v>3</v>
      </c>
      <c r="F293">
        <f>ABS(D293)+1</f>
      </c>
      <c r="G293" t="str">
        <v>→ CP6</v>
      </c>
      <c r="H293" t="str">
        <v>STRONG</v>
      </c>
      <c r="I293">
        <f>IF(F293=1,1,IF(F293&lt;=3,1,IF(F293&lt;=5,3,IF(F293&lt;=7,5,7))))</f>
      </c>
      <c r="J293">
        <f>IF(F293=1,1,IF(F293&lt;=3,3,IF(F293&lt;=5,5,IF(F293&lt;=7,7,9))))</f>
      </c>
      <c r="K293">
        <f>IF(F293=1,1,IF(F293&lt;=3,5,IF(F293&lt;=5,7,IF(F293&lt;=7,9,9))))</f>
      </c>
      <c r="L293" s="1">
        <f>IF(D293&gt;0,1/K293,I293)</f>
      </c>
      <c r="M293" s="1">
        <f>IF(D293&gt;0,1/J293,J293)</f>
      </c>
      <c r="N293" s="1">
        <f>IF(D293&gt;0,1/I293,K293)</f>
      </c>
    </row>
    <row r="294">
      <c r="A294">
        <v>28</v>
      </c>
      <c r="B294" t="str">
        <v>CP5</v>
      </c>
      <c r="C294" t="str">
        <v>CP7</v>
      </c>
      <c r="D294">
        <v>3</v>
      </c>
      <c r="E294">
        <v>3</v>
      </c>
      <c r="F294">
        <f>ABS(D294)+1</f>
      </c>
      <c r="G294" t="str">
        <v>→ CP7</v>
      </c>
      <c r="H294" t="str">
        <v>STRONG</v>
      </c>
      <c r="I294">
        <f>IF(F294=1,1,IF(F294&lt;=3,1,IF(F294&lt;=5,3,IF(F294&lt;=7,5,7))))</f>
      </c>
      <c r="J294">
        <f>IF(F294=1,1,IF(F294&lt;=3,3,IF(F294&lt;=5,5,IF(F294&lt;=7,7,9))))</f>
      </c>
      <c r="K294">
        <f>IF(F294=1,1,IF(F294&lt;=3,5,IF(F294&lt;=5,7,IF(F294&lt;=7,9,9))))</f>
      </c>
      <c r="L294" s="1">
        <f>IF(D294&gt;0,1/K294,I294)</f>
      </c>
      <c r="M294" s="1">
        <f>IF(D294&gt;0,1/J294,J294)</f>
      </c>
      <c r="N294" s="1">
        <f>IF(D294&gt;0,1/I294,K294)</f>
      </c>
    </row>
    <row r="295">
      <c r="A295">
        <v>29</v>
      </c>
      <c r="B295" t="str">
        <v>CP5</v>
      </c>
      <c r="C295" t="str">
        <v>CP8</v>
      </c>
      <c r="D295">
        <v>2</v>
      </c>
      <c r="E295">
        <v>2</v>
      </c>
      <c r="F295">
        <f>ABS(D295)+1</f>
      </c>
      <c r="G295" t="str">
        <v>→ CP8</v>
      </c>
      <c r="H295" t="str">
        <v>MODERATE</v>
      </c>
      <c r="I295">
        <f>IF(F295=1,1,IF(F295&lt;=3,1,IF(F295&lt;=5,3,IF(F295&lt;=7,5,7))))</f>
      </c>
      <c r="J295">
        <f>IF(F295=1,1,IF(F295&lt;=3,3,IF(F295&lt;=5,5,IF(F295&lt;=7,7,9))))</f>
      </c>
      <c r="K295">
        <f>IF(F295=1,1,IF(F295&lt;=3,5,IF(F295&lt;=5,7,IF(F295&lt;=7,9,9))))</f>
      </c>
      <c r="L295" s="1">
        <f>IF(D295&gt;0,1/K295,I295)</f>
      </c>
      <c r="M295" s="1">
        <f>IF(D295&gt;0,1/J295,J295)</f>
      </c>
      <c r="N295" s="1">
        <f>IF(D295&gt;0,1/I295,K295)</f>
      </c>
    </row>
    <row r="296">
      <c r="A296">
        <v>30</v>
      </c>
      <c r="B296" t="str">
        <v>CP5</v>
      </c>
      <c r="C296" t="str">
        <v>CP9</v>
      </c>
      <c r="D296">
        <v>3</v>
      </c>
      <c r="E296">
        <v>3</v>
      </c>
      <c r="F296">
        <f>ABS(D296)+1</f>
      </c>
      <c r="G296" t="str">
        <v>→ CP9</v>
      </c>
      <c r="H296" t="str">
        <v>STRONG</v>
      </c>
      <c r="I296">
        <f>IF(F296=1,1,IF(F296&lt;=3,1,IF(F296&lt;=5,3,IF(F296&lt;=7,5,7))))</f>
      </c>
      <c r="J296">
        <f>IF(F296=1,1,IF(F296&lt;=3,3,IF(F296&lt;=5,5,IF(F296&lt;=7,7,9))))</f>
      </c>
      <c r="K296">
        <f>IF(F296=1,1,IF(F296&lt;=3,5,IF(F296&lt;=5,7,IF(F296&lt;=7,9,9))))</f>
      </c>
      <c r="L296" s="1">
        <f>IF(D296&gt;0,1/K296,I296)</f>
      </c>
      <c r="M296" s="1">
        <f>IF(D296&gt;0,1/J296,J296)</f>
      </c>
      <c r="N296" s="1">
        <f>IF(D296&gt;0,1/I296,K296)</f>
      </c>
    </row>
    <row r="297">
      <c r="A297">
        <v>31</v>
      </c>
      <c r="B297" t="str">
        <v>CP6</v>
      </c>
      <c r="C297" t="str">
        <v>CP7</v>
      </c>
      <c r="D297">
        <v>-4</v>
      </c>
      <c r="E297">
        <v>4</v>
      </c>
      <c r="F297">
        <f>ABS(D297)+1</f>
      </c>
      <c r="G297" t="str">
        <v>← CP6</v>
      </c>
      <c r="H297" t="str">
        <v>STRONG</v>
      </c>
      <c r="I297">
        <f>IF(F297=1,1,IF(F297&lt;=3,1,IF(F297&lt;=5,3,IF(F297&lt;=7,5,7))))</f>
      </c>
      <c r="J297">
        <f>IF(F297=1,1,IF(F297&lt;=3,3,IF(F297&lt;=5,5,IF(F297&lt;=7,7,9))))</f>
      </c>
      <c r="K297">
        <f>IF(F297=1,1,IF(F297&lt;=3,5,IF(F297&lt;=5,7,IF(F297&lt;=7,9,9))))</f>
      </c>
      <c r="L297" s="1">
        <f>IF(D297&gt;0,1/K297,I297)</f>
      </c>
      <c r="M297" s="1">
        <f>IF(D297&gt;0,1/J297,J297)</f>
      </c>
      <c r="N297" s="1">
        <f>IF(D297&gt;0,1/I297,K297)</f>
      </c>
    </row>
    <row r="298">
      <c r="A298">
        <v>32</v>
      </c>
      <c r="B298" t="str">
        <v>CP6</v>
      </c>
      <c r="C298" t="str">
        <v>CP8</v>
      </c>
      <c r="D298">
        <v>-3</v>
      </c>
      <c r="E298">
        <v>3</v>
      </c>
      <c r="F298">
        <f>ABS(D298)+1</f>
      </c>
      <c r="G298" t="str">
        <v>← CP6</v>
      </c>
      <c r="H298" t="str">
        <v>STRONG</v>
      </c>
      <c r="I298">
        <f>IF(F298=1,1,IF(F298&lt;=3,1,IF(F298&lt;=5,3,IF(F298&lt;=7,5,7))))</f>
      </c>
      <c r="J298">
        <f>IF(F298=1,1,IF(F298&lt;=3,3,IF(F298&lt;=5,5,IF(F298&lt;=7,7,9))))</f>
      </c>
      <c r="K298">
        <f>IF(F298=1,1,IF(F298&lt;=3,5,IF(F298&lt;=5,7,IF(F298&lt;=7,9,9))))</f>
      </c>
      <c r="L298" s="1">
        <f>IF(D298&gt;0,1/K298,I298)</f>
      </c>
      <c r="M298" s="1">
        <f>IF(D298&gt;0,1/J298,J298)</f>
      </c>
      <c r="N298" s="1">
        <f>IF(D298&gt;0,1/I298,K298)</f>
      </c>
    </row>
    <row r="299">
      <c r="A299">
        <v>33</v>
      </c>
      <c r="B299" t="str">
        <v>CP6</v>
      </c>
      <c r="C299" t="str">
        <v>CP9</v>
      </c>
      <c r="D299">
        <v>-2</v>
      </c>
      <c r="E299">
        <v>2</v>
      </c>
      <c r="F299">
        <f>ABS(D299)+1</f>
      </c>
      <c r="G299" t="str">
        <v>← CP6</v>
      </c>
      <c r="H299" t="str">
        <v>MODERATE</v>
      </c>
      <c r="I299">
        <f>IF(F299=1,1,IF(F299&lt;=3,1,IF(F299&lt;=5,3,IF(F299&lt;=7,5,7))))</f>
      </c>
      <c r="J299">
        <f>IF(F299=1,1,IF(F299&lt;=3,3,IF(F299&lt;=5,5,IF(F299&lt;=7,7,9))))</f>
      </c>
      <c r="K299">
        <f>IF(F299=1,1,IF(F299&lt;=3,5,IF(F299&lt;=5,7,IF(F299&lt;=7,9,9))))</f>
      </c>
      <c r="L299" s="1">
        <f>IF(D299&gt;0,1/K299,I299)</f>
      </c>
      <c r="M299" s="1">
        <f>IF(D299&gt;0,1/J299,J299)</f>
      </c>
      <c r="N299" s="1">
        <f>IF(D299&gt;0,1/I299,K299)</f>
      </c>
    </row>
    <row r="300">
      <c r="A300">
        <v>34</v>
      </c>
      <c r="B300" t="str">
        <v>CP7</v>
      </c>
      <c r="C300" t="str">
        <v>CP8</v>
      </c>
      <c r="D300">
        <v>-2</v>
      </c>
      <c r="E300">
        <v>2</v>
      </c>
      <c r="F300">
        <f>ABS(D300)+1</f>
      </c>
      <c r="G300" t="str">
        <v>← CP7</v>
      </c>
      <c r="H300" t="str">
        <v>MODERATE</v>
      </c>
      <c r="I300">
        <f>IF(F300=1,1,IF(F300&lt;=3,1,IF(F300&lt;=5,3,IF(F300&lt;=7,5,7))))</f>
      </c>
      <c r="J300">
        <f>IF(F300=1,1,IF(F300&lt;=3,3,IF(F300&lt;=5,5,IF(F300&lt;=7,7,9))))</f>
      </c>
      <c r="K300">
        <f>IF(F300=1,1,IF(F300&lt;=3,5,IF(F300&lt;=5,7,IF(F300&lt;=7,9,9))))</f>
      </c>
      <c r="L300" s="1">
        <f>IF(D300&gt;0,1/K300,I300)</f>
      </c>
      <c r="M300" s="1">
        <f>IF(D300&gt;0,1/J300,J300)</f>
      </c>
      <c r="N300" s="1">
        <f>IF(D300&gt;0,1/I300,K300)</f>
      </c>
    </row>
    <row r="301">
      <c r="A301">
        <v>35</v>
      </c>
      <c r="B301" t="str">
        <v>CP7</v>
      </c>
      <c r="C301" t="str">
        <v>CP9</v>
      </c>
      <c r="D301">
        <v>-1</v>
      </c>
      <c r="E301">
        <v>1</v>
      </c>
      <c r="F301">
        <f>ABS(D301)+1</f>
      </c>
      <c r="G301" t="str">
        <v>← CP7</v>
      </c>
      <c r="H301" t="str">
        <v>MODERATE</v>
      </c>
      <c r="I301">
        <f>IF(F301=1,1,IF(F301&lt;=3,1,IF(F301&lt;=5,3,IF(F301&lt;=7,5,7))))</f>
      </c>
      <c r="J301">
        <f>IF(F301=1,1,IF(F301&lt;=3,3,IF(F301&lt;=5,5,IF(F301&lt;=7,7,9))))</f>
      </c>
      <c r="K301">
        <f>IF(F301=1,1,IF(F301&lt;=3,5,IF(F301&lt;=5,7,IF(F301&lt;=7,9,9))))</f>
      </c>
      <c r="L301" s="1">
        <f>IF(D301&gt;0,1/K301,I301)</f>
      </c>
      <c r="M301" s="1">
        <f>IF(D301&gt;0,1/J301,J301)</f>
      </c>
      <c r="N301" s="1">
        <f>IF(D301&gt;0,1/I301,K301)</f>
      </c>
    </row>
    <row r="302">
      <c r="A302">
        <v>36</v>
      </c>
      <c r="B302" t="str">
        <v>CP8</v>
      </c>
      <c r="C302" t="str">
        <v>CP9</v>
      </c>
      <c r="D302">
        <v>-1</v>
      </c>
      <c r="E302">
        <v>1</v>
      </c>
      <c r="F302">
        <f>ABS(D302)+1</f>
      </c>
      <c r="G302" t="str">
        <v>← CP8</v>
      </c>
      <c r="H302" t="str">
        <v>MODERATE</v>
      </c>
      <c r="I302">
        <f>IF(F302=1,1,IF(F302&lt;=3,1,IF(F302&lt;=5,3,IF(F302&lt;=7,5,7))))</f>
      </c>
      <c r="J302">
        <f>IF(F302=1,1,IF(F302&lt;=3,3,IF(F302&lt;=5,5,IF(F302&lt;=7,7,9))))</f>
      </c>
      <c r="K302">
        <f>IF(F302=1,1,IF(F302&lt;=3,5,IF(F302&lt;=5,7,IF(F302&lt;=7,9,9))))</f>
      </c>
      <c r="L302" s="1">
        <f>IF(D302&gt;0,1/K302,I302)</f>
      </c>
      <c r="M302" s="1">
        <f>IF(D302&gt;0,1/J302,J302)</f>
      </c>
      <c r="N302" s="1">
        <f>IF(D302&gt;0,1/I302,K302)</f>
      </c>
    </row>
    <row r="305">
      <c r="A305" t="str">
        <v>═══ RESPONDEN 8: Dea Astrina Harefa ═══</v>
      </c>
    </row>
    <row r="306">
      <c r="A306" t="str">
        <v>Jabatan: Paramedik Veteriner | Instansi: Dinas Peternakan dan Kesehatan Hewan Prov Riau</v>
      </c>
    </row>
    <row r="307">
      <c r="A307" t="str">
        <v>No</v>
      </c>
      <c r="B307" t="str">
        <v>Krit. A</v>
      </c>
      <c r="C307" t="str">
        <v>Krit. B</v>
      </c>
      <c r="D307" t="str">
        <v>Slider</v>
      </c>
      <c r="E307" t="str">
        <v>|Slider|</v>
      </c>
      <c r="F307" t="str">
        <v>absVal</v>
      </c>
      <c r="G307" t="str">
        <v>Arah</v>
      </c>
      <c r="H307" t="str">
        <v>Fuzzy</v>
      </c>
      <c r="I307" t="str">
        <v>l_orig</v>
      </c>
      <c r="J307" t="str">
        <v>m_orig</v>
      </c>
      <c r="K307" t="str">
        <v>u_orig</v>
      </c>
      <c r="L307" t="str">
        <v>TFN_l</v>
      </c>
      <c r="M307" t="str">
        <v>TFN_m</v>
      </c>
      <c r="N307" t="str">
        <v>TFN_u</v>
      </c>
    </row>
    <row r="308">
      <c r="A308">
        <v>1</v>
      </c>
      <c r="B308" t="str">
        <v>CP1</v>
      </c>
      <c r="C308" t="str">
        <v>CP2</v>
      </c>
      <c r="D308">
        <v>0</v>
      </c>
      <c r="E308">
        <v>0</v>
      </c>
      <c r="F308">
        <f>ABS(D308)+1</f>
      </c>
      <c r="G308" t="str">
        <v>= Sama</v>
      </c>
      <c r="H308" t="str">
        <v>EQUAL</v>
      </c>
      <c r="I308">
        <f>IF(F308=1,1,IF(F308&lt;=3,1,IF(F308&lt;=5,3,IF(F308&lt;=7,5,7))))</f>
      </c>
      <c r="J308">
        <f>IF(F308=1,1,IF(F308&lt;=3,3,IF(F308&lt;=5,5,IF(F308&lt;=7,7,9))))</f>
      </c>
      <c r="K308">
        <f>IF(F308=1,1,IF(F308&lt;=3,5,IF(F308&lt;=5,7,IF(F308&lt;=7,9,9))))</f>
      </c>
      <c r="L308" s="1">
        <f>IF(D308&gt;0,1/K308,I308)</f>
      </c>
      <c r="M308" s="1">
        <f>IF(D308&gt;0,1/J308,J308)</f>
      </c>
      <c r="N308" s="1">
        <f>IF(D308&gt;0,1/I308,K308)</f>
      </c>
    </row>
    <row r="309">
      <c r="A309">
        <v>2</v>
      </c>
      <c r="B309" t="str">
        <v>CP1</v>
      </c>
      <c r="C309" t="str">
        <v>CP3</v>
      </c>
      <c r="D309">
        <v>0</v>
      </c>
      <c r="E309">
        <v>0</v>
      </c>
      <c r="F309">
        <f>ABS(D309)+1</f>
      </c>
      <c r="G309" t="str">
        <v>= Sama</v>
      </c>
      <c r="H309" t="str">
        <v>EQUAL</v>
      </c>
      <c r="I309">
        <f>IF(F309=1,1,IF(F309&lt;=3,1,IF(F309&lt;=5,3,IF(F309&lt;=7,5,7))))</f>
      </c>
      <c r="J309">
        <f>IF(F309=1,1,IF(F309&lt;=3,3,IF(F309&lt;=5,5,IF(F309&lt;=7,7,9))))</f>
      </c>
      <c r="K309">
        <f>IF(F309=1,1,IF(F309&lt;=3,5,IF(F309&lt;=5,7,IF(F309&lt;=7,9,9))))</f>
      </c>
      <c r="L309" s="1">
        <f>IF(D309&gt;0,1/K309,I309)</f>
      </c>
      <c r="M309" s="1">
        <f>IF(D309&gt;0,1/J309,J309)</f>
      </c>
      <c r="N309" s="1">
        <f>IF(D309&gt;0,1/I309,K309)</f>
      </c>
    </row>
    <row r="310">
      <c r="A310">
        <v>3</v>
      </c>
      <c r="B310" t="str">
        <v>CP1</v>
      </c>
      <c r="C310" t="str">
        <v>CP4</v>
      </c>
      <c r="D310">
        <v>0</v>
      </c>
      <c r="E310">
        <v>0</v>
      </c>
      <c r="F310">
        <f>ABS(D310)+1</f>
      </c>
      <c r="G310" t="str">
        <v>= Sama</v>
      </c>
      <c r="H310" t="str">
        <v>EQUAL</v>
      </c>
      <c r="I310">
        <f>IF(F310=1,1,IF(F310&lt;=3,1,IF(F310&lt;=5,3,IF(F310&lt;=7,5,7))))</f>
      </c>
      <c r="J310">
        <f>IF(F310=1,1,IF(F310&lt;=3,3,IF(F310&lt;=5,5,IF(F310&lt;=7,7,9))))</f>
      </c>
      <c r="K310">
        <f>IF(F310=1,1,IF(F310&lt;=3,5,IF(F310&lt;=5,7,IF(F310&lt;=7,9,9))))</f>
      </c>
      <c r="L310" s="1">
        <f>IF(D310&gt;0,1/K310,I310)</f>
      </c>
      <c r="M310" s="1">
        <f>IF(D310&gt;0,1/J310,J310)</f>
      </c>
      <c r="N310" s="1">
        <f>IF(D310&gt;0,1/I310,K310)</f>
      </c>
    </row>
    <row r="311">
      <c r="A311">
        <v>4</v>
      </c>
      <c r="B311" t="str">
        <v>CP1</v>
      </c>
      <c r="C311" t="str">
        <v>CP5</v>
      </c>
      <c r="D311">
        <v>0</v>
      </c>
      <c r="E311">
        <v>0</v>
      </c>
      <c r="F311">
        <f>ABS(D311)+1</f>
      </c>
      <c r="G311" t="str">
        <v>= Sama</v>
      </c>
      <c r="H311" t="str">
        <v>EQUAL</v>
      </c>
      <c r="I311">
        <f>IF(F311=1,1,IF(F311&lt;=3,1,IF(F311&lt;=5,3,IF(F311&lt;=7,5,7))))</f>
      </c>
      <c r="J311">
        <f>IF(F311=1,1,IF(F311&lt;=3,3,IF(F311&lt;=5,5,IF(F311&lt;=7,7,9))))</f>
      </c>
      <c r="K311">
        <f>IF(F311=1,1,IF(F311&lt;=3,5,IF(F311&lt;=5,7,IF(F311&lt;=7,9,9))))</f>
      </c>
      <c r="L311" s="1">
        <f>IF(D311&gt;0,1/K311,I311)</f>
      </c>
      <c r="M311" s="1">
        <f>IF(D311&gt;0,1/J311,J311)</f>
      </c>
      <c r="N311" s="1">
        <f>IF(D311&gt;0,1/I311,K311)</f>
      </c>
    </row>
    <row r="312">
      <c r="A312">
        <v>5</v>
      </c>
      <c r="B312" t="str">
        <v>CP1</v>
      </c>
      <c r="C312" t="str">
        <v>CP6</v>
      </c>
      <c r="D312">
        <v>0</v>
      </c>
      <c r="E312">
        <v>0</v>
      </c>
      <c r="F312">
        <f>ABS(D312)+1</f>
      </c>
      <c r="G312" t="str">
        <v>= Sama</v>
      </c>
      <c r="H312" t="str">
        <v>EQUAL</v>
      </c>
      <c r="I312">
        <f>IF(F312=1,1,IF(F312&lt;=3,1,IF(F312&lt;=5,3,IF(F312&lt;=7,5,7))))</f>
      </c>
      <c r="J312">
        <f>IF(F312=1,1,IF(F312&lt;=3,3,IF(F312&lt;=5,5,IF(F312&lt;=7,7,9))))</f>
      </c>
      <c r="K312">
        <f>IF(F312=1,1,IF(F312&lt;=3,5,IF(F312&lt;=5,7,IF(F312&lt;=7,9,9))))</f>
      </c>
      <c r="L312" s="1">
        <f>IF(D312&gt;0,1/K312,I312)</f>
      </c>
      <c r="M312" s="1">
        <f>IF(D312&gt;0,1/J312,J312)</f>
      </c>
      <c r="N312" s="1">
        <f>IF(D312&gt;0,1/I312,K312)</f>
      </c>
    </row>
    <row r="313">
      <c r="A313">
        <v>6</v>
      </c>
      <c r="B313" t="str">
        <v>CP1</v>
      </c>
      <c r="C313" t="str">
        <v>CP7</v>
      </c>
      <c r="D313">
        <v>0</v>
      </c>
      <c r="E313">
        <v>0</v>
      </c>
      <c r="F313">
        <f>ABS(D313)+1</f>
      </c>
      <c r="G313" t="str">
        <v>= Sama</v>
      </c>
      <c r="H313" t="str">
        <v>EQUAL</v>
      </c>
      <c r="I313">
        <f>IF(F313=1,1,IF(F313&lt;=3,1,IF(F313&lt;=5,3,IF(F313&lt;=7,5,7))))</f>
      </c>
      <c r="J313">
        <f>IF(F313=1,1,IF(F313&lt;=3,3,IF(F313&lt;=5,5,IF(F313&lt;=7,7,9))))</f>
      </c>
      <c r="K313">
        <f>IF(F313=1,1,IF(F313&lt;=3,5,IF(F313&lt;=5,7,IF(F313&lt;=7,9,9))))</f>
      </c>
      <c r="L313" s="1">
        <f>IF(D313&gt;0,1/K313,I313)</f>
      </c>
      <c r="M313" s="1">
        <f>IF(D313&gt;0,1/J313,J313)</f>
      </c>
      <c r="N313" s="1">
        <f>IF(D313&gt;0,1/I313,K313)</f>
      </c>
    </row>
    <row r="314">
      <c r="A314">
        <v>7</v>
      </c>
      <c r="B314" t="str">
        <v>CP1</v>
      </c>
      <c r="C314" t="str">
        <v>CP8</v>
      </c>
      <c r="D314">
        <v>0</v>
      </c>
      <c r="E314">
        <v>0</v>
      </c>
      <c r="F314">
        <f>ABS(D314)+1</f>
      </c>
      <c r="G314" t="str">
        <v>= Sama</v>
      </c>
      <c r="H314" t="str">
        <v>EQUAL</v>
      </c>
      <c r="I314">
        <f>IF(F314=1,1,IF(F314&lt;=3,1,IF(F314&lt;=5,3,IF(F314&lt;=7,5,7))))</f>
      </c>
      <c r="J314">
        <f>IF(F314=1,1,IF(F314&lt;=3,3,IF(F314&lt;=5,5,IF(F314&lt;=7,7,9))))</f>
      </c>
      <c r="K314">
        <f>IF(F314=1,1,IF(F314&lt;=3,5,IF(F314&lt;=5,7,IF(F314&lt;=7,9,9))))</f>
      </c>
      <c r="L314" s="1">
        <f>IF(D314&gt;0,1/K314,I314)</f>
      </c>
      <c r="M314" s="1">
        <f>IF(D314&gt;0,1/J314,J314)</f>
      </c>
      <c r="N314" s="1">
        <f>IF(D314&gt;0,1/I314,K314)</f>
      </c>
    </row>
    <row r="315">
      <c r="A315">
        <v>8</v>
      </c>
      <c r="B315" t="str">
        <v>CP1</v>
      </c>
      <c r="C315" t="str">
        <v>CP9</v>
      </c>
      <c r="D315">
        <v>0</v>
      </c>
      <c r="E315">
        <v>0</v>
      </c>
      <c r="F315">
        <f>ABS(D315)+1</f>
      </c>
      <c r="G315" t="str">
        <v>= Sama</v>
      </c>
      <c r="H315" t="str">
        <v>EQUAL</v>
      </c>
      <c r="I315">
        <f>IF(F315=1,1,IF(F315&lt;=3,1,IF(F315&lt;=5,3,IF(F315&lt;=7,5,7))))</f>
      </c>
      <c r="J315">
        <f>IF(F315=1,1,IF(F315&lt;=3,3,IF(F315&lt;=5,5,IF(F315&lt;=7,7,9))))</f>
      </c>
      <c r="K315">
        <f>IF(F315=1,1,IF(F315&lt;=3,5,IF(F315&lt;=5,7,IF(F315&lt;=7,9,9))))</f>
      </c>
      <c r="L315" s="1">
        <f>IF(D315&gt;0,1/K315,I315)</f>
      </c>
      <c r="M315" s="1">
        <f>IF(D315&gt;0,1/J315,J315)</f>
      </c>
      <c r="N315" s="1">
        <f>IF(D315&gt;0,1/I315,K315)</f>
      </c>
    </row>
    <row r="316">
      <c r="A316">
        <v>9</v>
      </c>
      <c r="B316" t="str">
        <v>CP2</v>
      </c>
      <c r="C316" t="str">
        <v>CP3</v>
      </c>
      <c r="D316">
        <v>0</v>
      </c>
      <c r="E316">
        <v>0</v>
      </c>
      <c r="F316">
        <f>ABS(D316)+1</f>
      </c>
      <c r="G316" t="str">
        <v>= Sama</v>
      </c>
      <c r="H316" t="str">
        <v>EQUAL</v>
      </c>
      <c r="I316">
        <f>IF(F316=1,1,IF(F316&lt;=3,1,IF(F316&lt;=5,3,IF(F316&lt;=7,5,7))))</f>
      </c>
      <c r="J316">
        <f>IF(F316=1,1,IF(F316&lt;=3,3,IF(F316&lt;=5,5,IF(F316&lt;=7,7,9))))</f>
      </c>
      <c r="K316">
        <f>IF(F316=1,1,IF(F316&lt;=3,5,IF(F316&lt;=5,7,IF(F316&lt;=7,9,9))))</f>
      </c>
      <c r="L316" s="1">
        <f>IF(D316&gt;0,1/K316,I316)</f>
      </c>
      <c r="M316" s="1">
        <f>IF(D316&gt;0,1/J316,J316)</f>
      </c>
      <c r="N316" s="1">
        <f>IF(D316&gt;0,1/I316,K316)</f>
      </c>
    </row>
    <row r="317">
      <c r="A317">
        <v>10</v>
      </c>
      <c r="B317" t="str">
        <v>CP2</v>
      </c>
      <c r="C317" t="str">
        <v>CP4</v>
      </c>
      <c r="D317">
        <v>0</v>
      </c>
      <c r="E317">
        <v>0</v>
      </c>
      <c r="F317">
        <f>ABS(D317)+1</f>
      </c>
      <c r="G317" t="str">
        <v>= Sama</v>
      </c>
      <c r="H317" t="str">
        <v>EQUAL</v>
      </c>
      <c r="I317">
        <f>IF(F317=1,1,IF(F317&lt;=3,1,IF(F317&lt;=5,3,IF(F317&lt;=7,5,7))))</f>
      </c>
      <c r="J317">
        <f>IF(F317=1,1,IF(F317&lt;=3,3,IF(F317&lt;=5,5,IF(F317&lt;=7,7,9))))</f>
      </c>
      <c r="K317">
        <f>IF(F317=1,1,IF(F317&lt;=3,5,IF(F317&lt;=5,7,IF(F317&lt;=7,9,9))))</f>
      </c>
      <c r="L317" s="1">
        <f>IF(D317&gt;0,1/K317,I317)</f>
      </c>
      <c r="M317" s="1">
        <f>IF(D317&gt;0,1/J317,J317)</f>
      </c>
      <c r="N317" s="1">
        <f>IF(D317&gt;0,1/I317,K317)</f>
      </c>
    </row>
    <row r="318">
      <c r="A318">
        <v>11</v>
      </c>
      <c r="B318" t="str">
        <v>CP2</v>
      </c>
      <c r="C318" t="str">
        <v>CP5</v>
      </c>
      <c r="D318">
        <v>0</v>
      </c>
      <c r="E318">
        <v>0</v>
      </c>
      <c r="F318">
        <f>ABS(D318)+1</f>
      </c>
      <c r="G318" t="str">
        <v>= Sama</v>
      </c>
      <c r="H318" t="str">
        <v>EQUAL</v>
      </c>
      <c r="I318">
        <f>IF(F318=1,1,IF(F318&lt;=3,1,IF(F318&lt;=5,3,IF(F318&lt;=7,5,7))))</f>
      </c>
      <c r="J318">
        <f>IF(F318=1,1,IF(F318&lt;=3,3,IF(F318&lt;=5,5,IF(F318&lt;=7,7,9))))</f>
      </c>
      <c r="K318">
        <f>IF(F318=1,1,IF(F318&lt;=3,5,IF(F318&lt;=5,7,IF(F318&lt;=7,9,9))))</f>
      </c>
      <c r="L318" s="1">
        <f>IF(D318&gt;0,1/K318,I318)</f>
      </c>
      <c r="M318" s="1">
        <f>IF(D318&gt;0,1/J318,J318)</f>
      </c>
      <c r="N318" s="1">
        <f>IF(D318&gt;0,1/I318,K318)</f>
      </c>
    </row>
    <row r="319">
      <c r="A319">
        <v>12</v>
      </c>
      <c r="B319" t="str">
        <v>CP2</v>
      </c>
      <c r="C319" t="str">
        <v>CP6</v>
      </c>
      <c r="D319">
        <v>0</v>
      </c>
      <c r="E319">
        <v>0</v>
      </c>
      <c r="F319">
        <f>ABS(D319)+1</f>
      </c>
      <c r="G319" t="str">
        <v>= Sama</v>
      </c>
      <c r="H319" t="str">
        <v>EQUAL</v>
      </c>
      <c r="I319">
        <f>IF(F319=1,1,IF(F319&lt;=3,1,IF(F319&lt;=5,3,IF(F319&lt;=7,5,7))))</f>
      </c>
      <c r="J319">
        <f>IF(F319=1,1,IF(F319&lt;=3,3,IF(F319&lt;=5,5,IF(F319&lt;=7,7,9))))</f>
      </c>
      <c r="K319">
        <f>IF(F319=1,1,IF(F319&lt;=3,5,IF(F319&lt;=5,7,IF(F319&lt;=7,9,9))))</f>
      </c>
      <c r="L319" s="1">
        <f>IF(D319&gt;0,1/K319,I319)</f>
      </c>
      <c r="M319" s="1">
        <f>IF(D319&gt;0,1/J319,J319)</f>
      </c>
      <c r="N319" s="1">
        <f>IF(D319&gt;0,1/I319,K319)</f>
      </c>
    </row>
    <row r="320">
      <c r="A320">
        <v>13</v>
      </c>
      <c r="B320" t="str">
        <v>CP2</v>
      </c>
      <c r="C320" t="str">
        <v>CP7</v>
      </c>
      <c r="D320">
        <v>0</v>
      </c>
      <c r="E320">
        <v>0</v>
      </c>
      <c r="F320">
        <f>ABS(D320)+1</f>
      </c>
      <c r="G320" t="str">
        <v>= Sama</v>
      </c>
      <c r="H320" t="str">
        <v>EQUAL</v>
      </c>
      <c r="I320">
        <f>IF(F320=1,1,IF(F320&lt;=3,1,IF(F320&lt;=5,3,IF(F320&lt;=7,5,7))))</f>
      </c>
      <c r="J320">
        <f>IF(F320=1,1,IF(F320&lt;=3,3,IF(F320&lt;=5,5,IF(F320&lt;=7,7,9))))</f>
      </c>
      <c r="K320">
        <f>IF(F320=1,1,IF(F320&lt;=3,5,IF(F320&lt;=5,7,IF(F320&lt;=7,9,9))))</f>
      </c>
      <c r="L320" s="1">
        <f>IF(D320&gt;0,1/K320,I320)</f>
      </c>
      <c r="M320" s="1">
        <f>IF(D320&gt;0,1/J320,J320)</f>
      </c>
      <c r="N320" s="1">
        <f>IF(D320&gt;0,1/I320,K320)</f>
      </c>
    </row>
    <row r="321">
      <c r="A321">
        <v>14</v>
      </c>
      <c r="B321" t="str">
        <v>CP2</v>
      </c>
      <c r="C321" t="str">
        <v>CP8</v>
      </c>
      <c r="D321">
        <v>0</v>
      </c>
      <c r="E321">
        <v>0</v>
      </c>
      <c r="F321">
        <f>ABS(D321)+1</f>
      </c>
      <c r="G321" t="str">
        <v>= Sama</v>
      </c>
      <c r="H321" t="str">
        <v>EQUAL</v>
      </c>
      <c r="I321">
        <f>IF(F321=1,1,IF(F321&lt;=3,1,IF(F321&lt;=5,3,IF(F321&lt;=7,5,7))))</f>
      </c>
      <c r="J321">
        <f>IF(F321=1,1,IF(F321&lt;=3,3,IF(F321&lt;=5,5,IF(F321&lt;=7,7,9))))</f>
      </c>
      <c r="K321">
        <f>IF(F321=1,1,IF(F321&lt;=3,5,IF(F321&lt;=5,7,IF(F321&lt;=7,9,9))))</f>
      </c>
      <c r="L321" s="1">
        <f>IF(D321&gt;0,1/K321,I321)</f>
      </c>
      <c r="M321" s="1">
        <f>IF(D321&gt;0,1/J321,J321)</f>
      </c>
      <c r="N321" s="1">
        <f>IF(D321&gt;0,1/I321,K321)</f>
      </c>
    </row>
    <row r="322">
      <c r="A322">
        <v>15</v>
      </c>
      <c r="B322" t="str">
        <v>CP2</v>
      </c>
      <c r="C322" t="str">
        <v>CP9</v>
      </c>
      <c r="D322">
        <v>0</v>
      </c>
      <c r="E322">
        <v>0</v>
      </c>
      <c r="F322">
        <f>ABS(D322)+1</f>
      </c>
      <c r="G322" t="str">
        <v>= Sama</v>
      </c>
      <c r="H322" t="str">
        <v>EQUAL</v>
      </c>
      <c r="I322">
        <f>IF(F322=1,1,IF(F322&lt;=3,1,IF(F322&lt;=5,3,IF(F322&lt;=7,5,7))))</f>
      </c>
      <c r="J322">
        <f>IF(F322=1,1,IF(F322&lt;=3,3,IF(F322&lt;=5,5,IF(F322&lt;=7,7,9))))</f>
      </c>
      <c r="K322">
        <f>IF(F322=1,1,IF(F322&lt;=3,5,IF(F322&lt;=5,7,IF(F322&lt;=7,9,9))))</f>
      </c>
      <c r="L322" s="1">
        <f>IF(D322&gt;0,1/K322,I322)</f>
      </c>
      <c r="M322" s="1">
        <f>IF(D322&gt;0,1/J322,J322)</f>
      </c>
      <c r="N322" s="1">
        <f>IF(D322&gt;0,1/I322,K322)</f>
      </c>
    </row>
    <row r="323">
      <c r="A323">
        <v>16</v>
      </c>
      <c r="B323" t="str">
        <v>CP3</v>
      </c>
      <c r="C323" t="str">
        <v>CP4</v>
      </c>
      <c r="D323">
        <v>0</v>
      </c>
      <c r="E323">
        <v>0</v>
      </c>
      <c r="F323">
        <f>ABS(D323)+1</f>
      </c>
      <c r="G323" t="str">
        <v>= Sama</v>
      </c>
      <c r="H323" t="str">
        <v>EQUAL</v>
      </c>
      <c r="I323">
        <f>IF(F323=1,1,IF(F323&lt;=3,1,IF(F323&lt;=5,3,IF(F323&lt;=7,5,7))))</f>
      </c>
      <c r="J323">
        <f>IF(F323=1,1,IF(F323&lt;=3,3,IF(F323&lt;=5,5,IF(F323&lt;=7,7,9))))</f>
      </c>
      <c r="K323">
        <f>IF(F323=1,1,IF(F323&lt;=3,5,IF(F323&lt;=5,7,IF(F323&lt;=7,9,9))))</f>
      </c>
      <c r="L323" s="1">
        <f>IF(D323&gt;0,1/K323,I323)</f>
      </c>
      <c r="M323" s="1">
        <f>IF(D323&gt;0,1/J323,J323)</f>
      </c>
      <c r="N323" s="1">
        <f>IF(D323&gt;0,1/I323,K323)</f>
      </c>
    </row>
    <row r="324">
      <c r="A324">
        <v>17</v>
      </c>
      <c r="B324" t="str">
        <v>CP3</v>
      </c>
      <c r="C324" t="str">
        <v>CP5</v>
      </c>
      <c r="D324">
        <v>0</v>
      </c>
      <c r="E324">
        <v>0</v>
      </c>
      <c r="F324">
        <f>ABS(D324)+1</f>
      </c>
      <c r="G324" t="str">
        <v>= Sama</v>
      </c>
      <c r="H324" t="str">
        <v>EQUAL</v>
      </c>
      <c r="I324">
        <f>IF(F324=1,1,IF(F324&lt;=3,1,IF(F324&lt;=5,3,IF(F324&lt;=7,5,7))))</f>
      </c>
      <c r="J324">
        <f>IF(F324=1,1,IF(F324&lt;=3,3,IF(F324&lt;=5,5,IF(F324&lt;=7,7,9))))</f>
      </c>
      <c r="K324">
        <f>IF(F324=1,1,IF(F324&lt;=3,5,IF(F324&lt;=5,7,IF(F324&lt;=7,9,9))))</f>
      </c>
      <c r="L324" s="1">
        <f>IF(D324&gt;0,1/K324,I324)</f>
      </c>
      <c r="M324" s="1">
        <f>IF(D324&gt;0,1/J324,J324)</f>
      </c>
      <c r="N324" s="1">
        <f>IF(D324&gt;0,1/I324,K324)</f>
      </c>
    </row>
    <row r="325">
      <c r="A325">
        <v>18</v>
      </c>
      <c r="B325" t="str">
        <v>CP3</v>
      </c>
      <c r="C325" t="str">
        <v>CP6</v>
      </c>
      <c r="D325">
        <v>0</v>
      </c>
      <c r="E325">
        <v>0</v>
      </c>
      <c r="F325">
        <f>ABS(D325)+1</f>
      </c>
      <c r="G325" t="str">
        <v>= Sama</v>
      </c>
      <c r="H325" t="str">
        <v>EQUAL</v>
      </c>
      <c r="I325">
        <f>IF(F325=1,1,IF(F325&lt;=3,1,IF(F325&lt;=5,3,IF(F325&lt;=7,5,7))))</f>
      </c>
      <c r="J325">
        <f>IF(F325=1,1,IF(F325&lt;=3,3,IF(F325&lt;=5,5,IF(F325&lt;=7,7,9))))</f>
      </c>
      <c r="K325">
        <f>IF(F325=1,1,IF(F325&lt;=3,5,IF(F325&lt;=5,7,IF(F325&lt;=7,9,9))))</f>
      </c>
      <c r="L325" s="1">
        <f>IF(D325&gt;0,1/K325,I325)</f>
      </c>
      <c r="M325" s="1">
        <f>IF(D325&gt;0,1/J325,J325)</f>
      </c>
      <c r="N325" s="1">
        <f>IF(D325&gt;0,1/I325,K325)</f>
      </c>
    </row>
    <row r="326">
      <c r="A326">
        <v>19</v>
      </c>
      <c r="B326" t="str">
        <v>CP3</v>
      </c>
      <c r="C326" t="str">
        <v>CP7</v>
      </c>
      <c r="D326">
        <v>0</v>
      </c>
      <c r="E326">
        <v>0</v>
      </c>
      <c r="F326">
        <f>ABS(D326)+1</f>
      </c>
      <c r="G326" t="str">
        <v>= Sama</v>
      </c>
      <c r="H326" t="str">
        <v>EQUAL</v>
      </c>
      <c r="I326">
        <f>IF(F326=1,1,IF(F326&lt;=3,1,IF(F326&lt;=5,3,IF(F326&lt;=7,5,7))))</f>
      </c>
      <c r="J326">
        <f>IF(F326=1,1,IF(F326&lt;=3,3,IF(F326&lt;=5,5,IF(F326&lt;=7,7,9))))</f>
      </c>
      <c r="K326">
        <f>IF(F326=1,1,IF(F326&lt;=3,5,IF(F326&lt;=5,7,IF(F326&lt;=7,9,9))))</f>
      </c>
      <c r="L326" s="1">
        <f>IF(D326&gt;0,1/K326,I326)</f>
      </c>
      <c r="M326" s="1">
        <f>IF(D326&gt;0,1/J326,J326)</f>
      </c>
      <c r="N326" s="1">
        <f>IF(D326&gt;0,1/I326,K326)</f>
      </c>
    </row>
    <row r="327">
      <c r="A327">
        <v>20</v>
      </c>
      <c r="B327" t="str">
        <v>CP3</v>
      </c>
      <c r="C327" t="str">
        <v>CP8</v>
      </c>
      <c r="D327">
        <v>0</v>
      </c>
      <c r="E327">
        <v>0</v>
      </c>
      <c r="F327">
        <f>ABS(D327)+1</f>
      </c>
      <c r="G327" t="str">
        <v>= Sama</v>
      </c>
      <c r="H327" t="str">
        <v>EQUAL</v>
      </c>
      <c r="I327">
        <f>IF(F327=1,1,IF(F327&lt;=3,1,IF(F327&lt;=5,3,IF(F327&lt;=7,5,7))))</f>
      </c>
      <c r="J327">
        <f>IF(F327=1,1,IF(F327&lt;=3,3,IF(F327&lt;=5,5,IF(F327&lt;=7,7,9))))</f>
      </c>
      <c r="K327">
        <f>IF(F327=1,1,IF(F327&lt;=3,5,IF(F327&lt;=5,7,IF(F327&lt;=7,9,9))))</f>
      </c>
      <c r="L327" s="1">
        <f>IF(D327&gt;0,1/K327,I327)</f>
      </c>
      <c r="M327" s="1">
        <f>IF(D327&gt;0,1/J327,J327)</f>
      </c>
      <c r="N327" s="1">
        <f>IF(D327&gt;0,1/I327,K327)</f>
      </c>
    </row>
    <row r="328">
      <c r="A328">
        <v>21</v>
      </c>
      <c r="B328" t="str">
        <v>CP3</v>
      </c>
      <c r="C328" t="str">
        <v>CP9</v>
      </c>
      <c r="D328">
        <v>0</v>
      </c>
      <c r="E328">
        <v>0</v>
      </c>
      <c r="F328">
        <f>ABS(D328)+1</f>
      </c>
      <c r="G328" t="str">
        <v>= Sama</v>
      </c>
      <c r="H328" t="str">
        <v>EQUAL</v>
      </c>
      <c r="I328">
        <f>IF(F328=1,1,IF(F328&lt;=3,1,IF(F328&lt;=5,3,IF(F328&lt;=7,5,7))))</f>
      </c>
      <c r="J328">
        <f>IF(F328=1,1,IF(F328&lt;=3,3,IF(F328&lt;=5,5,IF(F328&lt;=7,7,9))))</f>
      </c>
      <c r="K328">
        <f>IF(F328=1,1,IF(F328&lt;=3,5,IF(F328&lt;=5,7,IF(F328&lt;=7,9,9))))</f>
      </c>
      <c r="L328" s="1">
        <f>IF(D328&gt;0,1/K328,I328)</f>
      </c>
      <c r="M328" s="1">
        <f>IF(D328&gt;0,1/J328,J328)</f>
      </c>
      <c r="N328" s="1">
        <f>IF(D328&gt;0,1/I328,K328)</f>
      </c>
    </row>
    <row r="329">
      <c r="A329">
        <v>22</v>
      </c>
      <c r="B329" t="str">
        <v>CP4</v>
      </c>
      <c r="C329" t="str">
        <v>CP5</v>
      </c>
      <c r="D329">
        <v>0</v>
      </c>
      <c r="E329">
        <v>0</v>
      </c>
      <c r="F329">
        <f>ABS(D329)+1</f>
      </c>
      <c r="G329" t="str">
        <v>= Sama</v>
      </c>
      <c r="H329" t="str">
        <v>EQUAL</v>
      </c>
      <c r="I329">
        <f>IF(F329=1,1,IF(F329&lt;=3,1,IF(F329&lt;=5,3,IF(F329&lt;=7,5,7))))</f>
      </c>
      <c r="J329">
        <f>IF(F329=1,1,IF(F329&lt;=3,3,IF(F329&lt;=5,5,IF(F329&lt;=7,7,9))))</f>
      </c>
      <c r="K329">
        <f>IF(F329=1,1,IF(F329&lt;=3,5,IF(F329&lt;=5,7,IF(F329&lt;=7,9,9))))</f>
      </c>
      <c r="L329" s="1">
        <f>IF(D329&gt;0,1/K329,I329)</f>
      </c>
      <c r="M329" s="1">
        <f>IF(D329&gt;0,1/J329,J329)</f>
      </c>
      <c r="N329" s="1">
        <f>IF(D329&gt;0,1/I329,K329)</f>
      </c>
    </row>
    <row r="330">
      <c r="A330">
        <v>23</v>
      </c>
      <c r="B330" t="str">
        <v>CP4</v>
      </c>
      <c r="C330" t="str">
        <v>CP6</v>
      </c>
      <c r="D330">
        <v>0</v>
      </c>
      <c r="E330">
        <v>0</v>
      </c>
      <c r="F330">
        <f>ABS(D330)+1</f>
      </c>
      <c r="G330" t="str">
        <v>= Sama</v>
      </c>
      <c r="H330" t="str">
        <v>EQUAL</v>
      </c>
      <c r="I330">
        <f>IF(F330=1,1,IF(F330&lt;=3,1,IF(F330&lt;=5,3,IF(F330&lt;=7,5,7))))</f>
      </c>
      <c r="J330">
        <f>IF(F330=1,1,IF(F330&lt;=3,3,IF(F330&lt;=5,5,IF(F330&lt;=7,7,9))))</f>
      </c>
      <c r="K330">
        <f>IF(F330=1,1,IF(F330&lt;=3,5,IF(F330&lt;=5,7,IF(F330&lt;=7,9,9))))</f>
      </c>
      <c r="L330" s="1">
        <f>IF(D330&gt;0,1/K330,I330)</f>
      </c>
      <c r="M330" s="1">
        <f>IF(D330&gt;0,1/J330,J330)</f>
      </c>
      <c r="N330" s="1">
        <f>IF(D330&gt;0,1/I330,K330)</f>
      </c>
    </row>
    <row r="331">
      <c r="A331">
        <v>24</v>
      </c>
      <c r="B331" t="str">
        <v>CP4</v>
      </c>
      <c r="C331" t="str">
        <v>CP7</v>
      </c>
      <c r="D331">
        <v>0</v>
      </c>
      <c r="E331">
        <v>0</v>
      </c>
      <c r="F331">
        <f>ABS(D331)+1</f>
      </c>
      <c r="G331" t="str">
        <v>= Sama</v>
      </c>
      <c r="H331" t="str">
        <v>EQUAL</v>
      </c>
      <c r="I331">
        <f>IF(F331=1,1,IF(F331&lt;=3,1,IF(F331&lt;=5,3,IF(F331&lt;=7,5,7))))</f>
      </c>
      <c r="J331">
        <f>IF(F331=1,1,IF(F331&lt;=3,3,IF(F331&lt;=5,5,IF(F331&lt;=7,7,9))))</f>
      </c>
      <c r="K331">
        <f>IF(F331=1,1,IF(F331&lt;=3,5,IF(F331&lt;=5,7,IF(F331&lt;=7,9,9))))</f>
      </c>
      <c r="L331" s="1">
        <f>IF(D331&gt;0,1/K331,I331)</f>
      </c>
      <c r="M331" s="1">
        <f>IF(D331&gt;0,1/J331,J331)</f>
      </c>
      <c r="N331" s="1">
        <f>IF(D331&gt;0,1/I331,K331)</f>
      </c>
    </row>
    <row r="332">
      <c r="A332">
        <v>25</v>
      </c>
      <c r="B332" t="str">
        <v>CP4</v>
      </c>
      <c r="C332" t="str">
        <v>CP8</v>
      </c>
      <c r="D332">
        <v>0</v>
      </c>
      <c r="E332">
        <v>0</v>
      </c>
      <c r="F332">
        <f>ABS(D332)+1</f>
      </c>
      <c r="G332" t="str">
        <v>= Sama</v>
      </c>
      <c r="H332" t="str">
        <v>EQUAL</v>
      </c>
      <c r="I332">
        <f>IF(F332=1,1,IF(F332&lt;=3,1,IF(F332&lt;=5,3,IF(F332&lt;=7,5,7))))</f>
      </c>
      <c r="J332">
        <f>IF(F332=1,1,IF(F332&lt;=3,3,IF(F332&lt;=5,5,IF(F332&lt;=7,7,9))))</f>
      </c>
      <c r="K332">
        <f>IF(F332=1,1,IF(F332&lt;=3,5,IF(F332&lt;=5,7,IF(F332&lt;=7,9,9))))</f>
      </c>
      <c r="L332" s="1">
        <f>IF(D332&gt;0,1/K332,I332)</f>
      </c>
      <c r="M332" s="1">
        <f>IF(D332&gt;0,1/J332,J332)</f>
      </c>
      <c r="N332" s="1">
        <f>IF(D332&gt;0,1/I332,K332)</f>
      </c>
    </row>
    <row r="333">
      <c r="A333">
        <v>26</v>
      </c>
      <c r="B333" t="str">
        <v>CP4</v>
      </c>
      <c r="C333" t="str">
        <v>CP9</v>
      </c>
      <c r="D333">
        <v>0</v>
      </c>
      <c r="E333">
        <v>0</v>
      </c>
      <c r="F333">
        <f>ABS(D333)+1</f>
      </c>
      <c r="G333" t="str">
        <v>= Sama</v>
      </c>
      <c r="H333" t="str">
        <v>EQUAL</v>
      </c>
      <c r="I333">
        <f>IF(F333=1,1,IF(F333&lt;=3,1,IF(F333&lt;=5,3,IF(F333&lt;=7,5,7))))</f>
      </c>
      <c r="J333">
        <f>IF(F333=1,1,IF(F333&lt;=3,3,IF(F333&lt;=5,5,IF(F333&lt;=7,7,9))))</f>
      </c>
      <c r="K333">
        <f>IF(F333=1,1,IF(F333&lt;=3,5,IF(F333&lt;=5,7,IF(F333&lt;=7,9,9))))</f>
      </c>
      <c r="L333" s="1">
        <f>IF(D333&gt;0,1/K333,I333)</f>
      </c>
      <c r="M333" s="1">
        <f>IF(D333&gt;0,1/J333,J333)</f>
      </c>
      <c r="N333" s="1">
        <f>IF(D333&gt;0,1/I333,K333)</f>
      </c>
    </row>
    <row r="334">
      <c r="A334">
        <v>27</v>
      </c>
      <c r="B334" t="str">
        <v>CP5</v>
      </c>
      <c r="C334" t="str">
        <v>CP6</v>
      </c>
      <c r="D334">
        <v>0</v>
      </c>
      <c r="E334">
        <v>0</v>
      </c>
      <c r="F334">
        <f>ABS(D334)+1</f>
      </c>
      <c r="G334" t="str">
        <v>= Sama</v>
      </c>
      <c r="H334" t="str">
        <v>EQUAL</v>
      </c>
      <c r="I334">
        <f>IF(F334=1,1,IF(F334&lt;=3,1,IF(F334&lt;=5,3,IF(F334&lt;=7,5,7))))</f>
      </c>
      <c r="J334">
        <f>IF(F334=1,1,IF(F334&lt;=3,3,IF(F334&lt;=5,5,IF(F334&lt;=7,7,9))))</f>
      </c>
      <c r="K334">
        <f>IF(F334=1,1,IF(F334&lt;=3,5,IF(F334&lt;=5,7,IF(F334&lt;=7,9,9))))</f>
      </c>
      <c r="L334" s="1">
        <f>IF(D334&gt;0,1/K334,I334)</f>
      </c>
      <c r="M334" s="1">
        <f>IF(D334&gt;0,1/J334,J334)</f>
      </c>
      <c r="N334" s="1">
        <f>IF(D334&gt;0,1/I334,K334)</f>
      </c>
    </row>
    <row r="335">
      <c r="A335">
        <v>28</v>
      </c>
      <c r="B335" t="str">
        <v>CP5</v>
      </c>
      <c r="C335" t="str">
        <v>CP7</v>
      </c>
      <c r="D335">
        <v>0</v>
      </c>
      <c r="E335">
        <v>0</v>
      </c>
      <c r="F335">
        <f>ABS(D335)+1</f>
      </c>
      <c r="G335" t="str">
        <v>= Sama</v>
      </c>
      <c r="H335" t="str">
        <v>EQUAL</v>
      </c>
      <c r="I335">
        <f>IF(F335=1,1,IF(F335&lt;=3,1,IF(F335&lt;=5,3,IF(F335&lt;=7,5,7))))</f>
      </c>
      <c r="J335">
        <f>IF(F335=1,1,IF(F335&lt;=3,3,IF(F335&lt;=5,5,IF(F335&lt;=7,7,9))))</f>
      </c>
      <c r="K335">
        <f>IF(F335=1,1,IF(F335&lt;=3,5,IF(F335&lt;=5,7,IF(F335&lt;=7,9,9))))</f>
      </c>
      <c r="L335" s="1">
        <f>IF(D335&gt;0,1/K335,I335)</f>
      </c>
      <c r="M335" s="1">
        <f>IF(D335&gt;0,1/J335,J335)</f>
      </c>
      <c r="N335" s="1">
        <f>IF(D335&gt;0,1/I335,K335)</f>
      </c>
    </row>
    <row r="336">
      <c r="A336">
        <v>29</v>
      </c>
      <c r="B336" t="str">
        <v>CP5</v>
      </c>
      <c r="C336" t="str">
        <v>CP8</v>
      </c>
      <c r="D336">
        <v>0</v>
      </c>
      <c r="E336">
        <v>0</v>
      </c>
      <c r="F336">
        <f>ABS(D336)+1</f>
      </c>
      <c r="G336" t="str">
        <v>= Sama</v>
      </c>
      <c r="H336" t="str">
        <v>EQUAL</v>
      </c>
      <c r="I336">
        <f>IF(F336=1,1,IF(F336&lt;=3,1,IF(F336&lt;=5,3,IF(F336&lt;=7,5,7))))</f>
      </c>
      <c r="J336">
        <f>IF(F336=1,1,IF(F336&lt;=3,3,IF(F336&lt;=5,5,IF(F336&lt;=7,7,9))))</f>
      </c>
      <c r="K336">
        <f>IF(F336=1,1,IF(F336&lt;=3,5,IF(F336&lt;=5,7,IF(F336&lt;=7,9,9))))</f>
      </c>
      <c r="L336" s="1">
        <f>IF(D336&gt;0,1/K336,I336)</f>
      </c>
      <c r="M336" s="1">
        <f>IF(D336&gt;0,1/J336,J336)</f>
      </c>
      <c r="N336" s="1">
        <f>IF(D336&gt;0,1/I336,K336)</f>
      </c>
    </row>
    <row r="337">
      <c r="A337">
        <v>30</v>
      </c>
      <c r="B337" t="str">
        <v>CP5</v>
      </c>
      <c r="C337" t="str">
        <v>CP9</v>
      </c>
      <c r="D337">
        <v>0</v>
      </c>
      <c r="E337">
        <v>0</v>
      </c>
      <c r="F337">
        <f>ABS(D337)+1</f>
      </c>
      <c r="G337" t="str">
        <v>= Sama</v>
      </c>
      <c r="H337" t="str">
        <v>EQUAL</v>
      </c>
      <c r="I337">
        <f>IF(F337=1,1,IF(F337&lt;=3,1,IF(F337&lt;=5,3,IF(F337&lt;=7,5,7))))</f>
      </c>
      <c r="J337">
        <f>IF(F337=1,1,IF(F337&lt;=3,3,IF(F337&lt;=5,5,IF(F337&lt;=7,7,9))))</f>
      </c>
      <c r="K337">
        <f>IF(F337=1,1,IF(F337&lt;=3,5,IF(F337&lt;=5,7,IF(F337&lt;=7,9,9))))</f>
      </c>
      <c r="L337" s="1">
        <f>IF(D337&gt;0,1/K337,I337)</f>
      </c>
      <c r="M337" s="1">
        <f>IF(D337&gt;0,1/J337,J337)</f>
      </c>
      <c r="N337" s="1">
        <f>IF(D337&gt;0,1/I337,K337)</f>
      </c>
    </row>
    <row r="338">
      <c r="A338">
        <v>31</v>
      </c>
      <c r="B338" t="str">
        <v>CP6</v>
      </c>
      <c r="C338" t="str">
        <v>CP7</v>
      </c>
      <c r="D338">
        <v>0</v>
      </c>
      <c r="E338">
        <v>0</v>
      </c>
      <c r="F338">
        <f>ABS(D338)+1</f>
      </c>
      <c r="G338" t="str">
        <v>= Sama</v>
      </c>
      <c r="H338" t="str">
        <v>EQUAL</v>
      </c>
      <c r="I338">
        <f>IF(F338=1,1,IF(F338&lt;=3,1,IF(F338&lt;=5,3,IF(F338&lt;=7,5,7))))</f>
      </c>
      <c r="J338">
        <f>IF(F338=1,1,IF(F338&lt;=3,3,IF(F338&lt;=5,5,IF(F338&lt;=7,7,9))))</f>
      </c>
      <c r="K338">
        <f>IF(F338=1,1,IF(F338&lt;=3,5,IF(F338&lt;=5,7,IF(F338&lt;=7,9,9))))</f>
      </c>
      <c r="L338" s="1">
        <f>IF(D338&gt;0,1/K338,I338)</f>
      </c>
      <c r="M338" s="1">
        <f>IF(D338&gt;0,1/J338,J338)</f>
      </c>
      <c r="N338" s="1">
        <f>IF(D338&gt;0,1/I338,K338)</f>
      </c>
    </row>
    <row r="339">
      <c r="A339">
        <v>32</v>
      </c>
      <c r="B339" t="str">
        <v>CP6</v>
      </c>
      <c r="C339" t="str">
        <v>CP8</v>
      </c>
      <c r="D339">
        <v>0</v>
      </c>
      <c r="E339">
        <v>0</v>
      </c>
      <c r="F339">
        <f>ABS(D339)+1</f>
      </c>
      <c r="G339" t="str">
        <v>= Sama</v>
      </c>
      <c r="H339" t="str">
        <v>EQUAL</v>
      </c>
      <c r="I339">
        <f>IF(F339=1,1,IF(F339&lt;=3,1,IF(F339&lt;=5,3,IF(F339&lt;=7,5,7))))</f>
      </c>
      <c r="J339">
        <f>IF(F339=1,1,IF(F339&lt;=3,3,IF(F339&lt;=5,5,IF(F339&lt;=7,7,9))))</f>
      </c>
      <c r="K339">
        <f>IF(F339=1,1,IF(F339&lt;=3,5,IF(F339&lt;=5,7,IF(F339&lt;=7,9,9))))</f>
      </c>
      <c r="L339" s="1">
        <f>IF(D339&gt;0,1/K339,I339)</f>
      </c>
      <c r="M339" s="1">
        <f>IF(D339&gt;0,1/J339,J339)</f>
      </c>
      <c r="N339" s="1">
        <f>IF(D339&gt;0,1/I339,K339)</f>
      </c>
    </row>
    <row r="340">
      <c r="A340">
        <v>33</v>
      </c>
      <c r="B340" t="str">
        <v>CP6</v>
      </c>
      <c r="C340" t="str">
        <v>CP9</v>
      </c>
      <c r="D340">
        <v>0</v>
      </c>
      <c r="E340">
        <v>0</v>
      </c>
      <c r="F340">
        <f>ABS(D340)+1</f>
      </c>
      <c r="G340" t="str">
        <v>= Sama</v>
      </c>
      <c r="H340" t="str">
        <v>EQUAL</v>
      </c>
      <c r="I340">
        <f>IF(F340=1,1,IF(F340&lt;=3,1,IF(F340&lt;=5,3,IF(F340&lt;=7,5,7))))</f>
      </c>
      <c r="J340">
        <f>IF(F340=1,1,IF(F340&lt;=3,3,IF(F340&lt;=5,5,IF(F340&lt;=7,7,9))))</f>
      </c>
      <c r="K340">
        <f>IF(F340=1,1,IF(F340&lt;=3,5,IF(F340&lt;=5,7,IF(F340&lt;=7,9,9))))</f>
      </c>
      <c r="L340" s="1">
        <f>IF(D340&gt;0,1/K340,I340)</f>
      </c>
      <c r="M340" s="1">
        <f>IF(D340&gt;0,1/J340,J340)</f>
      </c>
      <c r="N340" s="1">
        <f>IF(D340&gt;0,1/I340,K340)</f>
      </c>
    </row>
    <row r="341">
      <c r="A341">
        <v>34</v>
      </c>
      <c r="B341" t="str">
        <v>CP7</v>
      </c>
      <c r="C341" t="str">
        <v>CP8</v>
      </c>
      <c r="D341">
        <v>0</v>
      </c>
      <c r="E341">
        <v>0</v>
      </c>
      <c r="F341">
        <f>ABS(D341)+1</f>
      </c>
      <c r="G341" t="str">
        <v>= Sama</v>
      </c>
      <c r="H341" t="str">
        <v>EQUAL</v>
      </c>
      <c r="I341">
        <f>IF(F341=1,1,IF(F341&lt;=3,1,IF(F341&lt;=5,3,IF(F341&lt;=7,5,7))))</f>
      </c>
      <c r="J341">
        <f>IF(F341=1,1,IF(F341&lt;=3,3,IF(F341&lt;=5,5,IF(F341&lt;=7,7,9))))</f>
      </c>
      <c r="K341">
        <f>IF(F341=1,1,IF(F341&lt;=3,5,IF(F341&lt;=5,7,IF(F341&lt;=7,9,9))))</f>
      </c>
      <c r="L341" s="1">
        <f>IF(D341&gt;0,1/K341,I341)</f>
      </c>
      <c r="M341" s="1">
        <f>IF(D341&gt;0,1/J341,J341)</f>
      </c>
      <c r="N341" s="1">
        <f>IF(D341&gt;0,1/I341,K341)</f>
      </c>
    </row>
    <row r="342">
      <c r="A342">
        <v>35</v>
      </c>
      <c r="B342" t="str">
        <v>CP7</v>
      </c>
      <c r="C342" t="str">
        <v>CP9</v>
      </c>
      <c r="D342">
        <v>0</v>
      </c>
      <c r="E342">
        <v>0</v>
      </c>
      <c r="F342">
        <f>ABS(D342)+1</f>
      </c>
      <c r="G342" t="str">
        <v>= Sama</v>
      </c>
      <c r="H342" t="str">
        <v>EQUAL</v>
      </c>
      <c r="I342">
        <f>IF(F342=1,1,IF(F342&lt;=3,1,IF(F342&lt;=5,3,IF(F342&lt;=7,5,7))))</f>
      </c>
      <c r="J342">
        <f>IF(F342=1,1,IF(F342&lt;=3,3,IF(F342&lt;=5,5,IF(F342&lt;=7,7,9))))</f>
      </c>
      <c r="K342">
        <f>IF(F342=1,1,IF(F342&lt;=3,5,IF(F342&lt;=5,7,IF(F342&lt;=7,9,9))))</f>
      </c>
      <c r="L342" s="1">
        <f>IF(D342&gt;0,1/K342,I342)</f>
      </c>
      <c r="M342" s="1">
        <f>IF(D342&gt;0,1/J342,J342)</f>
      </c>
      <c r="N342" s="1">
        <f>IF(D342&gt;0,1/I342,K342)</f>
      </c>
    </row>
    <row r="343">
      <c r="A343">
        <v>36</v>
      </c>
      <c r="B343" t="str">
        <v>CP8</v>
      </c>
      <c r="C343" t="str">
        <v>CP9</v>
      </c>
      <c r="D343">
        <v>0</v>
      </c>
      <c r="E343">
        <v>0</v>
      </c>
      <c r="F343">
        <f>ABS(D343)+1</f>
      </c>
      <c r="G343" t="str">
        <v>= Sama</v>
      </c>
      <c r="H343" t="str">
        <v>EQUAL</v>
      </c>
      <c r="I343">
        <f>IF(F343=1,1,IF(F343&lt;=3,1,IF(F343&lt;=5,3,IF(F343&lt;=7,5,7))))</f>
      </c>
      <c r="J343">
        <f>IF(F343=1,1,IF(F343&lt;=3,3,IF(F343&lt;=5,5,IF(F343&lt;=7,7,9))))</f>
      </c>
      <c r="K343">
        <f>IF(F343=1,1,IF(F343&lt;=3,5,IF(F343&lt;=5,7,IF(F343&lt;=7,9,9))))</f>
      </c>
      <c r="L343" s="1">
        <f>IF(D343&gt;0,1/K343,I343)</f>
      </c>
      <c r="M343" s="1">
        <f>IF(D343&gt;0,1/J343,J343)</f>
      </c>
      <c r="N343" s="1">
        <f>IF(D343&gt;0,1/I343,K343)</f>
      </c>
    </row>
    <row r="346">
      <c r="A346" t="str">
        <v>═══ RESPONDEN 9: Amrul Hidayat ═══</v>
      </c>
    </row>
    <row r="347">
      <c r="A347" t="str">
        <v>Jabatan: Pengawas Bibit Ternak Ahli Muda | Instansi: Dinas Peternakan dan Kesehatan Hewan Provinsi Riau</v>
      </c>
    </row>
    <row r="348">
      <c r="A348" t="str">
        <v>No</v>
      </c>
      <c r="B348" t="str">
        <v>Krit. A</v>
      </c>
      <c r="C348" t="str">
        <v>Krit. B</v>
      </c>
      <c r="D348" t="str">
        <v>Slider</v>
      </c>
      <c r="E348" t="str">
        <v>|Slider|</v>
      </c>
      <c r="F348" t="str">
        <v>absVal</v>
      </c>
      <c r="G348" t="str">
        <v>Arah</v>
      </c>
      <c r="H348" t="str">
        <v>Fuzzy</v>
      </c>
      <c r="I348" t="str">
        <v>l_orig</v>
      </c>
      <c r="J348" t="str">
        <v>m_orig</v>
      </c>
      <c r="K348" t="str">
        <v>u_orig</v>
      </c>
      <c r="L348" t="str">
        <v>TFN_l</v>
      </c>
      <c r="M348" t="str">
        <v>TFN_m</v>
      </c>
      <c r="N348" t="str">
        <v>TFN_u</v>
      </c>
    </row>
    <row r="349">
      <c r="A349">
        <v>1</v>
      </c>
      <c r="B349" t="str">
        <v>CP1</v>
      </c>
      <c r="C349" t="str">
        <v>CP2</v>
      </c>
      <c r="D349">
        <v>4</v>
      </c>
      <c r="E349">
        <v>4</v>
      </c>
      <c r="F349">
        <f>ABS(D349)+1</f>
      </c>
      <c r="G349" t="str">
        <v>→ CP2</v>
      </c>
      <c r="H349" t="str">
        <v>STRONG</v>
      </c>
      <c r="I349">
        <f>IF(F349=1,1,IF(F349&lt;=3,1,IF(F349&lt;=5,3,IF(F349&lt;=7,5,7))))</f>
      </c>
      <c r="J349">
        <f>IF(F349=1,1,IF(F349&lt;=3,3,IF(F349&lt;=5,5,IF(F349&lt;=7,7,9))))</f>
      </c>
      <c r="K349">
        <f>IF(F349=1,1,IF(F349&lt;=3,5,IF(F349&lt;=5,7,IF(F349&lt;=7,9,9))))</f>
      </c>
      <c r="L349" s="1">
        <f>IF(D349&gt;0,1/K349,I349)</f>
      </c>
      <c r="M349" s="1">
        <f>IF(D349&gt;0,1/J349,J349)</f>
      </c>
      <c r="N349" s="1">
        <f>IF(D349&gt;0,1/I349,K349)</f>
      </c>
    </row>
    <row r="350">
      <c r="A350">
        <v>2</v>
      </c>
      <c r="B350" t="str">
        <v>CP1</v>
      </c>
      <c r="C350" t="str">
        <v>CP3</v>
      </c>
      <c r="D350">
        <v>-4</v>
      </c>
      <c r="E350">
        <v>4</v>
      </c>
      <c r="F350">
        <f>ABS(D350)+1</f>
      </c>
      <c r="G350" t="str">
        <v>← CP1</v>
      </c>
      <c r="H350" t="str">
        <v>STRONG</v>
      </c>
      <c r="I350">
        <f>IF(F350=1,1,IF(F350&lt;=3,1,IF(F350&lt;=5,3,IF(F350&lt;=7,5,7))))</f>
      </c>
      <c r="J350">
        <f>IF(F350=1,1,IF(F350&lt;=3,3,IF(F350&lt;=5,5,IF(F350&lt;=7,7,9))))</f>
      </c>
      <c r="K350">
        <f>IF(F350=1,1,IF(F350&lt;=3,5,IF(F350&lt;=5,7,IF(F350&lt;=7,9,9))))</f>
      </c>
      <c r="L350" s="1">
        <f>IF(D350&gt;0,1/K350,I350)</f>
      </c>
      <c r="M350" s="1">
        <f>IF(D350&gt;0,1/J350,J350)</f>
      </c>
      <c r="N350" s="1">
        <f>IF(D350&gt;0,1/I350,K350)</f>
      </c>
    </row>
    <row r="351">
      <c r="A351">
        <v>3</v>
      </c>
      <c r="B351" t="str">
        <v>CP1</v>
      </c>
      <c r="C351" t="str">
        <v>CP4</v>
      </c>
      <c r="D351">
        <v>4</v>
      </c>
      <c r="E351">
        <v>4</v>
      </c>
      <c r="F351">
        <f>ABS(D351)+1</f>
      </c>
      <c r="G351" t="str">
        <v>→ CP4</v>
      </c>
      <c r="H351" t="str">
        <v>STRONG</v>
      </c>
      <c r="I351">
        <f>IF(F351=1,1,IF(F351&lt;=3,1,IF(F351&lt;=5,3,IF(F351&lt;=7,5,7))))</f>
      </c>
      <c r="J351">
        <f>IF(F351=1,1,IF(F351&lt;=3,3,IF(F351&lt;=5,5,IF(F351&lt;=7,7,9))))</f>
      </c>
      <c r="K351">
        <f>IF(F351=1,1,IF(F351&lt;=3,5,IF(F351&lt;=5,7,IF(F351&lt;=7,9,9))))</f>
      </c>
      <c r="L351" s="1">
        <f>IF(D351&gt;0,1/K351,I351)</f>
      </c>
      <c r="M351" s="1">
        <f>IF(D351&gt;0,1/J351,J351)</f>
      </c>
      <c r="N351" s="1">
        <f>IF(D351&gt;0,1/I351,K351)</f>
      </c>
    </row>
    <row r="352">
      <c r="A352">
        <v>4</v>
      </c>
      <c r="B352" t="str">
        <v>CP1</v>
      </c>
      <c r="C352" t="str">
        <v>CP5</v>
      </c>
      <c r="D352">
        <v>4</v>
      </c>
      <c r="E352">
        <v>4</v>
      </c>
      <c r="F352">
        <f>ABS(D352)+1</f>
      </c>
      <c r="G352" t="str">
        <v>→ CP5</v>
      </c>
      <c r="H352" t="str">
        <v>STRONG</v>
      </c>
      <c r="I352">
        <f>IF(F352=1,1,IF(F352&lt;=3,1,IF(F352&lt;=5,3,IF(F352&lt;=7,5,7))))</f>
      </c>
      <c r="J352">
        <f>IF(F352=1,1,IF(F352&lt;=3,3,IF(F352&lt;=5,5,IF(F352&lt;=7,7,9))))</f>
      </c>
      <c r="K352">
        <f>IF(F352=1,1,IF(F352&lt;=3,5,IF(F352&lt;=5,7,IF(F352&lt;=7,9,9))))</f>
      </c>
      <c r="L352" s="1">
        <f>IF(D352&gt;0,1/K352,I352)</f>
      </c>
      <c r="M352" s="1">
        <f>IF(D352&gt;0,1/J352,J352)</f>
      </c>
      <c r="N352" s="1">
        <f>IF(D352&gt;0,1/I352,K352)</f>
      </c>
    </row>
    <row r="353">
      <c r="A353">
        <v>5</v>
      </c>
      <c r="B353" t="str">
        <v>CP1</v>
      </c>
      <c r="C353" t="str">
        <v>CP6</v>
      </c>
      <c r="D353">
        <v>4</v>
      </c>
      <c r="E353">
        <v>4</v>
      </c>
      <c r="F353">
        <f>ABS(D353)+1</f>
      </c>
      <c r="G353" t="str">
        <v>→ CP6</v>
      </c>
      <c r="H353" t="str">
        <v>STRONG</v>
      </c>
      <c r="I353">
        <f>IF(F353=1,1,IF(F353&lt;=3,1,IF(F353&lt;=5,3,IF(F353&lt;=7,5,7))))</f>
      </c>
      <c r="J353">
        <f>IF(F353=1,1,IF(F353&lt;=3,3,IF(F353&lt;=5,5,IF(F353&lt;=7,7,9))))</f>
      </c>
      <c r="K353">
        <f>IF(F353=1,1,IF(F353&lt;=3,5,IF(F353&lt;=5,7,IF(F353&lt;=7,9,9))))</f>
      </c>
      <c r="L353" s="1">
        <f>IF(D353&gt;0,1/K353,I353)</f>
      </c>
      <c r="M353" s="1">
        <f>IF(D353&gt;0,1/J353,J353)</f>
      </c>
      <c r="N353" s="1">
        <f>IF(D353&gt;0,1/I353,K353)</f>
      </c>
    </row>
    <row r="354">
      <c r="A354">
        <v>6</v>
      </c>
      <c r="B354" t="str">
        <v>CP1</v>
      </c>
      <c r="C354" t="str">
        <v>CP7</v>
      </c>
      <c r="D354">
        <v>8</v>
      </c>
      <c r="E354">
        <v>8</v>
      </c>
      <c r="F354">
        <f>ABS(D354)+1</f>
      </c>
      <c r="G354" t="str">
        <v>→ CP7</v>
      </c>
      <c r="H354" t="str">
        <v>EXTREME</v>
      </c>
      <c r="I354">
        <f>IF(F354=1,1,IF(F354&lt;=3,1,IF(F354&lt;=5,3,IF(F354&lt;=7,5,7))))</f>
      </c>
      <c r="J354">
        <f>IF(F354=1,1,IF(F354&lt;=3,3,IF(F354&lt;=5,5,IF(F354&lt;=7,7,9))))</f>
      </c>
      <c r="K354">
        <f>IF(F354=1,1,IF(F354&lt;=3,5,IF(F354&lt;=5,7,IF(F354&lt;=7,9,9))))</f>
      </c>
      <c r="L354" s="1">
        <f>IF(D354&gt;0,1/K354,I354)</f>
      </c>
      <c r="M354" s="1">
        <f>IF(D354&gt;0,1/J354,J354)</f>
      </c>
      <c r="N354" s="1">
        <f>IF(D354&gt;0,1/I354,K354)</f>
      </c>
    </row>
    <row r="355">
      <c r="A355">
        <v>7</v>
      </c>
      <c r="B355" t="str">
        <v>CP1</v>
      </c>
      <c r="C355" t="str">
        <v>CP8</v>
      </c>
      <c r="D355">
        <v>4</v>
      </c>
      <c r="E355">
        <v>4</v>
      </c>
      <c r="F355">
        <f>ABS(D355)+1</f>
      </c>
      <c r="G355" t="str">
        <v>→ CP8</v>
      </c>
      <c r="H355" t="str">
        <v>STRONG</v>
      </c>
      <c r="I355">
        <f>IF(F355=1,1,IF(F355&lt;=3,1,IF(F355&lt;=5,3,IF(F355&lt;=7,5,7))))</f>
      </c>
      <c r="J355">
        <f>IF(F355=1,1,IF(F355&lt;=3,3,IF(F355&lt;=5,5,IF(F355&lt;=7,7,9))))</f>
      </c>
      <c r="K355">
        <f>IF(F355=1,1,IF(F355&lt;=3,5,IF(F355&lt;=5,7,IF(F355&lt;=7,9,9))))</f>
      </c>
      <c r="L355" s="1">
        <f>IF(D355&gt;0,1/K355,I355)</f>
      </c>
      <c r="M355" s="1">
        <f>IF(D355&gt;0,1/J355,J355)</f>
      </c>
      <c r="N355" s="1">
        <f>IF(D355&gt;0,1/I355,K355)</f>
      </c>
    </row>
    <row r="356">
      <c r="A356">
        <v>8</v>
      </c>
      <c r="B356" t="str">
        <v>CP1</v>
      </c>
      <c r="C356" t="str">
        <v>CP9</v>
      </c>
      <c r="D356">
        <v>4</v>
      </c>
      <c r="E356">
        <v>4</v>
      </c>
      <c r="F356">
        <f>ABS(D356)+1</f>
      </c>
      <c r="G356" t="str">
        <v>→ CP9</v>
      </c>
      <c r="H356" t="str">
        <v>STRONG</v>
      </c>
      <c r="I356">
        <f>IF(F356=1,1,IF(F356&lt;=3,1,IF(F356&lt;=5,3,IF(F356&lt;=7,5,7))))</f>
      </c>
      <c r="J356">
        <f>IF(F356=1,1,IF(F356&lt;=3,3,IF(F356&lt;=5,5,IF(F356&lt;=7,7,9))))</f>
      </c>
      <c r="K356">
        <f>IF(F356=1,1,IF(F356&lt;=3,5,IF(F356&lt;=5,7,IF(F356&lt;=7,9,9))))</f>
      </c>
      <c r="L356" s="1">
        <f>IF(D356&gt;0,1/K356,I356)</f>
      </c>
      <c r="M356" s="1">
        <f>IF(D356&gt;0,1/J356,J356)</f>
      </c>
      <c r="N356" s="1">
        <f>IF(D356&gt;0,1/I356,K356)</f>
      </c>
    </row>
    <row r="357">
      <c r="A357">
        <v>9</v>
      </c>
      <c r="B357" t="str">
        <v>CP2</v>
      </c>
      <c r="C357" t="str">
        <v>CP3</v>
      </c>
      <c r="D357">
        <v>-4</v>
      </c>
      <c r="E357">
        <v>4</v>
      </c>
      <c r="F357">
        <f>ABS(D357)+1</f>
      </c>
      <c r="G357" t="str">
        <v>← CP2</v>
      </c>
      <c r="H357" t="str">
        <v>STRONG</v>
      </c>
      <c r="I357">
        <f>IF(F357=1,1,IF(F357&lt;=3,1,IF(F357&lt;=5,3,IF(F357&lt;=7,5,7))))</f>
      </c>
      <c r="J357">
        <f>IF(F357=1,1,IF(F357&lt;=3,3,IF(F357&lt;=5,5,IF(F357&lt;=7,7,9))))</f>
      </c>
      <c r="K357">
        <f>IF(F357=1,1,IF(F357&lt;=3,5,IF(F357&lt;=5,7,IF(F357&lt;=7,9,9))))</f>
      </c>
      <c r="L357" s="1">
        <f>IF(D357&gt;0,1/K357,I357)</f>
      </c>
      <c r="M357" s="1">
        <f>IF(D357&gt;0,1/J357,J357)</f>
      </c>
      <c r="N357" s="1">
        <f>IF(D357&gt;0,1/I357,K357)</f>
      </c>
    </row>
    <row r="358">
      <c r="A358">
        <v>10</v>
      </c>
      <c r="B358" t="str">
        <v>CP2</v>
      </c>
      <c r="C358" t="str">
        <v>CP4</v>
      </c>
      <c r="D358">
        <v>-4</v>
      </c>
      <c r="E358">
        <v>4</v>
      </c>
      <c r="F358">
        <f>ABS(D358)+1</f>
      </c>
      <c r="G358" t="str">
        <v>← CP2</v>
      </c>
      <c r="H358" t="str">
        <v>STRONG</v>
      </c>
      <c r="I358">
        <f>IF(F358=1,1,IF(F358&lt;=3,1,IF(F358&lt;=5,3,IF(F358&lt;=7,5,7))))</f>
      </c>
      <c r="J358">
        <f>IF(F358=1,1,IF(F358&lt;=3,3,IF(F358&lt;=5,5,IF(F358&lt;=7,7,9))))</f>
      </c>
      <c r="K358">
        <f>IF(F358=1,1,IF(F358&lt;=3,5,IF(F358&lt;=5,7,IF(F358&lt;=7,9,9))))</f>
      </c>
      <c r="L358" s="1">
        <f>IF(D358&gt;0,1/K358,I358)</f>
      </c>
      <c r="M358" s="1">
        <f>IF(D358&gt;0,1/J358,J358)</f>
      </c>
      <c r="N358" s="1">
        <f>IF(D358&gt;0,1/I358,K358)</f>
      </c>
    </row>
    <row r="359">
      <c r="A359">
        <v>11</v>
      </c>
      <c r="B359" t="str">
        <v>CP2</v>
      </c>
      <c r="C359" t="str">
        <v>CP5</v>
      </c>
      <c r="D359">
        <v>4</v>
      </c>
      <c r="E359">
        <v>4</v>
      </c>
      <c r="F359">
        <f>ABS(D359)+1</f>
      </c>
      <c r="G359" t="str">
        <v>→ CP5</v>
      </c>
      <c r="H359" t="str">
        <v>STRONG</v>
      </c>
      <c r="I359">
        <f>IF(F359=1,1,IF(F359&lt;=3,1,IF(F359&lt;=5,3,IF(F359&lt;=7,5,7))))</f>
      </c>
      <c r="J359">
        <f>IF(F359=1,1,IF(F359&lt;=3,3,IF(F359&lt;=5,5,IF(F359&lt;=7,7,9))))</f>
      </c>
      <c r="K359">
        <f>IF(F359=1,1,IF(F359&lt;=3,5,IF(F359&lt;=5,7,IF(F359&lt;=7,9,9))))</f>
      </c>
      <c r="L359" s="1">
        <f>IF(D359&gt;0,1/K359,I359)</f>
      </c>
      <c r="M359" s="1">
        <f>IF(D359&gt;0,1/J359,J359)</f>
      </c>
      <c r="N359" s="1">
        <f>IF(D359&gt;0,1/I359,K359)</f>
      </c>
    </row>
    <row r="360">
      <c r="A360">
        <v>12</v>
      </c>
      <c r="B360" t="str">
        <v>CP2</v>
      </c>
      <c r="C360" t="str">
        <v>CP6</v>
      </c>
      <c r="D360">
        <v>4</v>
      </c>
      <c r="E360">
        <v>4</v>
      </c>
      <c r="F360">
        <f>ABS(D360)+1</f>
      </c>
      <c r="G360" t="str">
        <v>→ CP6</v>
      </c>
      <c r="H360" t="str">
        <v>STRONG</v>
      </c>
      <c r="I360">
        <f>IF(F360=1,1,IF(F360&lt;=3,1,IF(F360&lt;=5,3,IF(F360&lt;=7,5,7))))</f>
      </c>
      <c r="J360">
        <f>IF(F360=1,1,IF(F360&lt;=3,3,IF(F360&lt;=5,5,IF(F360&lt;=7,7,9))))</f>
      </c>
      <c r="K360">
        <f>IF(F360=1,1,IF(F360&lt;=3,5,IF(F360&lt;=5,7,IF(F360&lt;=7,9,9))))</f>
      </c>
      <c r="L360" s="1">
        <f>IF(D360&gt;0,1/K360,I360)</f>
      </c>
      <c r="M360" s="1">
        <f>IF(D360&gt;0,1/J360,J360)</f>
      </c>
      <c r="N360" s="1">
        <f>IF(D360&gt;0,1/I360,K360)</f>
      </c>
    </row>
    <row r="361">
      <c r="A361">
        <v>13</v>
      </c>
      <c r="B361" t="str">
        <v>CP2</v>
      </c>
      <c r="C361" t="str">
        <v>CP7</v>
      </c>
      <c r="D361">
        <v>4</v>
      </c>
      <c r="E361">
        <v>4</v>
      </c>
      <c r="F361">
        <f>ABS(D361)+1</f>
      </c>
      <c r="G361" t="str">
        <v>→ CP7</v>
      </c>
      <c r="H361" t="str">
        <v>STRONG</v>
      </c>
      <c r="I361">
        <f>IF(F361=1,1,IF(F361&lt;=3,1,IF(F361&lt;=5,3,IF(F361&lt;=7,5,7))))</f>
      </c>
      <c r="J361">
        <f>IF(F361=1,1,IF(F361&lt;=3,3,IF(F361&lt;=5,5,IF(F361&lt;=7,7,9))))</f>
      </c>
      <c r="K361">
        <f>IF(F361=1,1,IF(F361&lt;=3,5,IF(F361&lt;=5,7,IF(F361&lt;=7,9,9))))</f>
      </c>
      <c r="L361" s="1">
        <f>IF(D361&gt;0,1/K361,I361)</f>
      </c>
      <c r="M361" s="1">
        <f>IF(D361&gt;0,1/J361,J361)</f>
      </c>
      <c r="N361" s="1">
        <f>IF(D361&gt;0,1/I361,K361)</f>
      </c>
    </row>
    <row r="362">
      <c r="A362">
        <v>14</v>
      </c>
      <c r="B362" t="str">
        <v>CP2</v>
      </c>
      <c r="C362" t="str">
        <v>CP8</v>
      </c>
      <c r="D362">
        <v>4</v>
      </c>
      <c r="E362">
        <v>4</v>
      </c>
      <c r="F362">
        <f>ABS(D362)+1</f>
      </c>
      <c r="G362" t="str">
        <v>→ CP8</v>
      </c>
      <c r="H362" t="str">
        <v>STRONG</v>
      </c>
      <c r="I362">
        <f>IF(F362=1,1,IF(F362&lt;=3,1,IF(F362&lt;=5,3,IF(F362&lt;=7,5,7))))</f>
      </c>
      <c r="J362">
        <f>IF(F362=1,1,IF(F362&lt;=3,3,IF(F362&lt;=5,5,IF(F362&lt;=7,7,9))))</f>
      </c>
      <c r="K362">
        <f>IF(F362=1,1,IF(F362&lt;=3,5,IF(F362&lt;=5,7,IF(F362&lt;=7,9,9))))</f>
      </c>
      <c r="L362" s="1">
        <f>IF(D362&gt;0,1/K362,I362)</f>
      </c>
      <c r="M362" s="1">
        <f>IF(D362&gt;0,1/J362,J362)</f>
      </c>
      <c r="N362" s="1">
        <f>IF(D362&gt;0,1/I362,K362)</f>
      </c>
    </row>
    <row r="363">
      <c r="A363">
        <v>15</v>
      </c>
      <c r="B363" t="str">
        <v>CP2</v>
      </c>
      <c r="C363" t="str">
        <v>CP9</v>
      </c>
      <c r="D363">
        <v>4</v>
      </c>
      <c r="E363">
        <v>4</v>
      </c>
      <c r="F363">
        <f>ABS(D363)+1</f>
      </c>
      <c r="G363" t="str">
        <v>→ CP9</v>
      </c>
      <c r="H363" t="str">
        <v>STRONG</v>
      </c>
      <c r="I363">
        <f>IF(F363=1,1,IF(F363&lt;=3,1,IF(F363&lt;=5,3,IF(F363&lt;=7,5,7))))</f>
      </c>
      <c r="J363">
        <f>IF(F363=1,1,IF(F363&lt;=3,3,IF(F363&lt;=5,5,IF(F363&lt;=7,7,9))))</f>
      </c>
      <c r="K363">
        <f>IF(F363=1,1,IF(F363&lt;=3,5,IF(F363&lt;=5,7,IF(F363&lt;=7,9,9))))</f>
      </c>
      <c r="L363" s="1">
        <f>IF(D363&gt;0,1/K363,I363)</f>
      </c>
      <c r="M363" s="1">
        <f>IF(D363&gt;0,1/J363,J363)</f>
      </c>
      <c r="N363" s="1">
        <f>IF(D363&gt;0,1/I363,K363)</f>
      </c>
    </row>
    <row r="364">
      <c r="A364">
        <v>16</v>
      </c>
      <c r="B364" t="str">
        <v>CP3</v>
      </c>
      <c r="C364" t="str">
        <v>CP4</v>
      </c>
      <c r="D364">
        <v>4</v>
      </c>
      <c r="E364">
        <v>4</v>
      </c>
      <c r="F364">
        <f>ABS(D364)+1</f>
      </c>
      <c r="G364" t="str">
        <v>→ CP4</v>
      </c>
      <c r="H364" t="str">
        <v>STRONG</v>
      </c>
      <c r="I364">
        <f>IF(F364=1,1,IF(F364&lt;=3,1,IF(F364&lt;=5,3,IF(F364&lt;=7,5,7))))</f>
      </c>
      <c r="J364">
        <f>IF(F364=1,1,IF(F364&lt;=3,3,IF(F364&lt;=5,5,IF(F364&lt;=7,7,9))))</f>
      </c>
      <c r="K364">
        <f>IF(F364=1,1,IF(F364&lt;=3,5,IF(F364&lt;=5,7,IF(F364&lt;=7,9,9))))</f>
      </c>
      <c r="L364" s="1">
        <f>IF(D364&gt;0,1/K364,I364)</f>
      </c>
      <c r="M364" s="1">
        <f>IF(D364&gt;0,1/J364,J364)</f>
      </c>
      <c r="N364" s="1">
        <f>IF(D364&gt;0,1/I364,K364)</f>
      </c>
    </row>
    <row r="365">
      <c r="A365">
        <v>17</v>
      </c>
      <c r="B365" t="str">
        <v>CP3</v>
      </c>
      <c r="C365" t="str">
        <v>CP5</v>
      </c>
      <c r="D365">
        <v>4</v>
      </c>
      <c r="E365">
        <v>4</v>
      </c>
      <c r="F365">
        <f>ABS(D365)+1</f>
      </c>
      <c r="G365" t="str">
        <v>→ CP5</v>
      </c>
      <c r="H365" t="str">
        <v>STRONG</v>
      </c>
      <c r="I365">
        <f>IF(F365=1,1,IF(F365&lt;=3,1,IF(F365&lt;=5,3,IF(F365&lt;=7,5,7))))</f>
      </c>
      <c r="J365">
        <f>IF(F365=1,1,IF(F365&lt;=3,3,IF(F365&lt;=5,5,IF(F365&lt;=7,7,9))))</f>
      </c>
      <c r="K365">
        <f>IF(F365=1,1,IF(F365&lt;=3,5,IF(F365&lt;=5,7,IF(F365&lt;=7,9,9))))</f>
      </c>
      <c r="L365" s="1">
        <f>IF(D365&gt;0,1/K365,I365)</f>
      </c>
      <c r="M365" s="1">
        <f>IF(D365&gt;0,1/J365,J365)</f>
      </c>
      <c r="N365" s="1">
        <f>IF(D365&gt;0,1/I365,K365)</f>
      </c>
    </row>
    <row r="366">
      <c r="A366">
        <v>18</v>
      </c>
      <c r="B366" t="str">
        <v>CP3</v>
      </c>
      <c r="C366" t="str">
        <v>CP6</v>
      </c>
      <c r="D366">
        <v>4</v>
      </c>
      <c r="E366">
        <v>4</v>
      </c>
      <c r="F366">
        <f>ABS(D366)+1</f>
      </c>
      <c r="G366" t="str">
        <v>→ CP6</v>
      </c>
      <c r="H366" t="str">
        <v>STRONG</v>
      </c>
      <c r="I366">
        <f>IF(F366=1,1,IF(F366&lt;=3,1,IF(F366&lt;=5,3,IF(F366&lt;=7,5,7))))</f>
      </c>
      <c r="J366">
        <f>IF(F366=1,1,IF(F366&lt;=3,3,IF(F366&lt;=5,5,IF(F366&lt;=7,7,9))))</f>
      </c>
      <c r="K366">
        <f>IF(F366=1,1,IF(F366&lt;=3,5,IF(F366&lt;=5,7,IF(F366&lt;=7,9,9))))</f>
      </c>
      <c r="L366" s="1">
        <f>IF(D366&gt;0,1/K366,I366)</f>
      </c>
      <c r="M366" s="1">
        <f>IF(D366&gt;0,1/J366,J366)</f>
      </c>
      <c r="N366" s="1">
        <f>IF(D366&gt;0,1/I366,K366)</f>
      </c>
    </row>
    <row r="367">
      <c r="A367">
        <v>19</v>
      </c>
      <c r="B367" t="str">
        <v>CP3</v>
      </c>
      <c r="C367" t="str">
        <v>CP7</v>
      </c>
      <c r="D367">
        <v>5</v>
      </c>
      <c r="E367">
        <v>5</v>
      </c>
      <c r="F367">
        <f>ABS(D367)+1</f>
      </c>
      <c r="G367" t="str">
        <v>→ CP7</v>
      </c>
      <c r="H367" t="str">
        <v>VERY_STRONG</v>
      </c>
      <c r="I367">
        <f>IF(F367=1,1,IF(F367&lt;=3,1,IF(F367&lt;=5,3,IF(F367&lt;=7,5,7))))</f>
      </c>
      <c r="J367">
        <f>IF(F367=1,1,IF(F367&lt;=3,3,IF(F367&lt;=5,5,IF(F367&lt;=7,7,9))))</f>
      </c>
      <c r="K367">
        <f>IF(F367=1,1,IF(F367&lt;=3,5,IF(F367&lt;=5,7,IF(F367&lt;=7,9,9))))</f>
      </c>
      <c r="L367" s="1">
        <f>IF(D367&gt;0,1/K367,I367)</f>
      </c>
      <c r="M367" s="1">
        <f>IF(D367&gt;0,1/J367,J367)</f>
      </c>
      <c r="N367" s="1">
        <f>IF(D367&gt;0,1/I367,K367)</f>
      </c>
    </row>
    <row r="368">
      <c r="A368">
        <v>20</v>
      </c>
      <c r="B368" t="str">
        <v>CP3</v>
      </c>
      <c r="C368" t="str">
        <v>CP8</v>
      </c>
      <c r="D368">
        <v>4</v>
      </c>
      <c r="E368">
        <v>4</v>
      </c>
      <c r="F368">
        <f>ABS(D368)+1</f>
      </c>
      <c r="G368" t="str">
        <v>→ CP8</v>
      </c>
      <c r="H368" t="str">
        <v>STRONG</v>
      </c>
      <c r="I368">
        <f>IF(F368=1,1,IF(F368&lt;=3,1,IF(F368&lt;=5,3,IF(F368&lt;=7,5,7))))</f>
      </c>
      <c r="J368">
        <f>IF(F368=1,1,IF(F368&lt;=3,3,IF(F368&lt;=5,5,IF(F368&lt;=7,7,9))))</f>
      </c>
      <c r="K368">
        <f>IF(F368=1,1,IF(F368&lt;=3,5,IF(F368&lt;=5,7,IF(F368&lt;=7,9,9))))</f>
      </c>
      <c r="L368" s="1">
        <f>IF(D368&gt;0,1/K368,I368)</f>
      </c>
      <c r="M368" s="1">
        <f>IF(D368&gt;0,1/J368,J368)</f>
      </c>
      <c r="N368" s="1">
        <f>IF(D368&gt;0,1/I368,K368)</f>
      </c>
    </row>
    <row r="369">
      <c r="A369">
        <v>21</v>
      </c>
      <c r="B369" t="str">
        <v>CP3</v>
      </c>
      <c r="C369" t="str">
        <v>CP9</v>
      </c>
      <c r="D369">
        <v>5</v>
      </c>
      <c r="E369">
        <v>5</v>
      </c>
      <c r="F369">
        <f>ABS(D369)+1</f>
      </c>
      <c r="G369" t="str">
        <v>→ CP9</v>
      </c>
      <c r="H369" t="str">
        <v>VERY_STRONG</v>
      </c>
      <c r="I369">
        <f>IF(F369=1,1,IF(F369&lt;=3,1,IF(F369&lt;=5,3,IF(F369&lt;=7,5,7))))</f>
      </c>
      <c r="J369">
        <f>IF(F369=1,1,IF(F369&lt;=3,3,IF(F369&lt;=5,5,IF(F369&lt;=7,7,9))))</f>
      </c>
      <c r="K369">
        <f>IF(F369=1,1,IF(F369&lt;=3,5,IF(F369&lt;=5,7,IF(F369&lt;=7,9,9))))</f>
      </c>
      <c r="L369" s="1">
        <f>IF(D369&gt;0,1/K369,I369)</f>
      </c>
      <c r="M369" s="1">
        <f>IF(D369&gt;0,1/J369,J369)</f>
      </c>
      <c r="N369" s="1">
        <f>IF(D369&gt;0,1/I369,K369)</f>
      </c>
    </row>
    <row r="370">
      <c r="A370">
        <v>22</v>
      </c>
      <c r="B370" t="str">
        <v>CP4</v>
      </c>
      <c r="C370" t="str">
        <v>CP5</v>
      </c>
      <c r="D370">
        <v>4</v>
      </c>
      <c r="E370">
        <v>4</v>
      </c>
      <c r="F370">
        <f>ABS(D370)+1</f>
      </c>
      <c r="G370" t="str">
        <v>→ CP5</v>
      </c>
      <c r="H370" t="str">
        <v>STRONG</v>
      </c>
      <c r="I370">
        <f>IF(F370=1,1,IF(F370&lt;=3,1,IF(F370&lt;=5,3,IF(F370&lt;=7,5,7))))</f>
      </c>
      <c r="J370">
        <f>IF(F370=1,1,IF(F370&lt;=3,3,IF(F370&lt;=5,5,IF(F370&lt;=7,7,9))))</f>
      </c>
      <c r="K370">
        <f>IF(F370=1,1,IF(F370&lt;=3,5,IF(F370&lt;=5,7,IF(F370&lt;=7,9,9))))</f>
      </c>
      <c r="L370" s="1">
        <f>IF(D370&gt;0,1/K370,I370)</f>
      </c>
      <c r="M370" s="1">
        <f>IF(D370&gt;0,1/J370,J370)</f>
      </c>
      <c r="N370" s="1">
        <f>IF(D370&gt;0,1/I370,K370)</f>
      </c>
    </row>
    <row r="371">
      <c r="A371">
        <v>23</v>
      </c>
      <c r="B371" t="str">
        <v>CP4</v>
      </c>
      <c r="C371" t="str">
        <v>CP6</v>
      </c>
      <c r="D371">
        <v>4</v>
      </c>
      <c r="E371">
        <v>4</v>
      </c>
      <c r="F371">
        <f>ABS(D371)+1</f>
      </c>
      <c r="G371" t="str">
        <v>→ CP6</v>
      </c>
      <c r="H371" t="str">
        <v>STRONG</v>
      </c>
      <c r="I371">
        <f>IF(F371=1,1,IF(F371&lt;=3,1,IF(F371&lt;=5,3,IF(F371&lt;=7,5,7))))</f>
      </c>
      <c r="J371">
        <f>IF(F371=1,1,IF(F371&lt;=3,3,IF(F371&lt;=5,5,IF(F371&lt;=7,7,9))))</f>
      </c>
      <c r="K371">
        <f>IF(F371=1,1,IF(F371&lt;=3,5,IF(F371&lt;=5,7,IF(F371&lt;=7,9,9))))</f>
      </c>
      <c r="L371" s="1">
        <f>IF(D371&gt;0,1/K371,I371)</f>
      </c>
      <c r="M371" s="1">
        <f>IF(D371&gt;0,1/J371,J371)</f>
      </c>
      <c r="N371" s="1">
        <f>IF(D371&gt;0,1/I371,K371)</f>
      </c>
    </row>
    <row r="372">
      <c r="A372">
        <v>24</v>
      </c>
      <c r="B372" t="str">
        <v>CP4</v>
      </c>
      <c r="C372" t="str">
        <v>CP7</v>
      </c>
      <c r="D372">
        <v>5</v>
      </c>
      <c r="E372">
        <v>5</v>
      </c>
      <c r="F372">
        <f>ABS(D372)+1</f>
      </c>
      <c r="G372" t="str">
        <v>→ CP7</v>
      </c>
      <c r="H372" t="str">
        <v>VERY_STRONG</v>
      </c>
      <c r="I372">
        <f>IF(F372=1,1,IF(F372&lt;=3,1,IF(F372&lt;=5,3,IF(F372&lt;=7,5,7))))</f>
      </c>
      <c r="J372">
        <f>IF(F372=1,1,IF(F372&lt;=3,3,IF(F372&lt;=5,5,IF(F372&lt;=7,7,9))))</f>
      </c>
      <c r="K372">
        <f>IF(F372=1,1,IF(F372&lt;=3,5,IF(F372&lt;=5,7,IF(F372&lt;=7,9,9))))</f>
      </c>
      <c r="L372" s="1">
        <f>IF(D372&gt;0,1/K372,I372)</f>
      </c>
      <c r="M372" s="1">
        <f>IF(D372&gt;0,1/J372,J372)</f>
      </c>
      <c r="N372" s="1">
        <f>IF(D372&gt;0,1/I372,K372)</f>
      </c>
    </row>
    <row r="373">
      <c r="A373">
        <v>25</v>
      </c>
      <c r="B373" t="str">
        <v>CP4</v>
      </c>
      <c r="C373" t="str">
        <v>CP8</v>
      </c>
      <c r="D373">
        <v>-4</v>
      </c>
      <c r="E373">
        <v>4</v>
      </c>
      <c r="F373">
        <f>ABS(D373)+1</f>
      </c>
      <c r="G373" t="str">
        <v>← CP4</v>
      </c>
      <c r="H373" t="str">
        <v>STRONG</v>
      </c>
      <c r="I373">
        <f>IF(F373=1,1,IF(F373&lt;=3,1,IF(F373&lt;=5,3,IF(F373&lt;=7,5,7))))</f>
      </c>
      <c r="J373">
        <f>IF(F373=1,1,IF(F373&lt;=3,3,IF(F373&lt;=5,5,IF(F373&lt;=7,7,9))))</f>
      </c>
      <c r="K373">
        <f>IF(F373=1,1,IF(F373&lt;=3,5,IF(F373&lt;=5,7,IF(F373&lt;=7,9,9))))</f>
      </c>
      <c r="L373" s="1">
        <f>IF(D373&gt;0,1/K373,I373)</f>
      </c>
      <c r="M373" s="1">
        <f>IF(D373&gt;0,1/J373,J373)</f>
      </c>
      <c r="N373" s="1">
        <f>IF(D373&gt;0,1/I373,K373)</f>
      </c>
    </row>
    <row r="374">
      <c r="A374">
        <v>26</v>
      </c>
      <c r="B374" t="str">
        <v>CP4</v>
      </c>
      <c r="C374" t="str">
        <v>CP9</v>
      </c>
      <c r="D374">
        <v>-4</v>
      </c>
      <c r="E374">
        <v>4</v>
      </c>
      <c r="F374">
        <f>ABS(D374)+1</f>
      </c>
      <c r="G374" t="str">
        <v>← CP4</v>
      </c>
      <c r="H374" t="str">
        <v>STRONG</v>
      </c>
      <c r="I374">
        <f>IF(F374=1,1,IF(F374&lt;=3,1,IF(F374&lt;=5,3,IF(F374&lt;=7,5,7))))</f>
      </c>
      <c r="J374">
        <f>IF(F374=1,1,IF(F374&lt;=3,3,IF(F374&lt;=5,5,IF(F374&lt;=7,7,9))))</f>
      </c>
      <c r="K374">
        <f>IF(F374=1,1,IF(F374&lt;=3,5,IF(F374&lt;=5,7,IF(F374&lt;=7,9,9))))</f>
      </c>
      <c r="L374" s="1">
        <f>IF(D374&gt;0,1/K374,I374)</f>
      </c>
      <c r="M374" s="1">
        <f>IF(D374&gt;0,1/J374,J374)</f>
      </c>
      <c r="N374" s="1">
        <f>IF(D374&gt;0,1/I374,K374)</f>
      </c>
    </row>
    <row r="375">
      <c r="A375">
        <v>27</v>
      </c>
      <c r="B375" t="str">
        <v>CP5</v>
      </c>
      <c r="C375" t="str">
        <v>CP6</v>
      </c>
      <c r="D375">
        <v>-4</v>
      </c>
      <c r="E375">
        <v>4</v>
      </c>
      <c r="F375">
        <f>ABS(D375)+1</f>
      </c>
      <c r="G375" t="str">
        <v>← CP5</v>
      </c>
      <c r="H375" t="str">
        <v>STRONG</v>
      </c>
      <c r="I375">
        <f>IF(F375=1,1,IF(F375&lt;=3,1,IF(F375&lt;=5,3,IF(F375&lt;=7,5,7))))</f>
      </c>
      <c r="J375">
        <f>IF(F375=1,1,IF(F375&lt;=3,3,IF(F375&lt;=5,5,IF(F375&lt;=7,7,9))))</f>
      </c>
      <c r="K375">
        <f>IF(F375=1,1,IF(F375&lt;=3,5,IF(F375&lt;=5,7,IF(F375&lt;=7,9,9))))</f>
      </c>
      <c r="L375" s="1">
        <f>IF(D375&gt;0,1/K375,I375)</f>
      </c>
      <c r="M375" s="1">
        <f>IF(D375&gt;0,1/J375,J375)</f>
      </c>
      <c r="N375" s="1">
        <f>IF(D375&gt;0,1/I375,K375)</f>
      </c>
    </row>
    <row r="376">
      <c r="A376">
        <v>28</v>
      </c>
      <c r="B376" t="str">
        <v>CP5</v>
      </c>
      <c r="C376" t="str">
        <v>CP7</v>
      </c>
      <c r="D376">
        <v>4</v>
      </c>
      <c r="E376">
        <v>4</v>
      </c>
      <c r="F376">
        <f>ABS(D376)+1</f>
      </c>
      <c r="G376" t="str">
        <v>→ CP7</v>
      </c>
      <c r="H376" t="str">
        <v>STRONG</v>
      </c>
      <c r="I376">
        <f>IF(F376=1,1,IF(F376&lt;=3,1,IF(F376&lt;=5,3,IF(F376&lt;=7,5,7))))</f>
      </c>
      <c r="J376">
        <f>IF(F376=1,1,IF(F376&lt;=3,3,IF(F376&lt;=5,5,IF(F376&lt;=7,7,9))))</f>
      </c>
      <c r="K376">
        <f>IF(F376=1,1,IF(F376&lt;=3,5,IF(F376&lt;=5,7,IF(F376&lt;=7,9,9))))</f>
      </c>
      <c r="L376" s="1">
        <f>IF(D376&gt;0,1/K376,I376)</f>
      </c>
      <c r="M376" s="1">
        <f>IF(D376&gt;0,1/J376,J376)</f>
      </c>
      <c r="N376" s="1">
        <f>IF(D376&gt;0,1/I376,K376)</f>
      </c>
    </row>
    <row r="377">
      <c r="A377">
        <v>29</v>
      </c>
      <c r="B377" t="str">
        <v>CP5</v>
      </c>
      <c r="C377" t="str">
        <v>CP8</v>
      </c>
      <c r="D377">
        <v>4</v>
      </c>
      <c r="E377">
        <v>4</v>
      </c>
      <c r="F377">
        <f>ABS(D377)+1</f>
      </c>
      <c r="G377" t="str">
        <v>→ CP8</v>
      </c>
      <c r="H377" t="str">
        <v>STRONG</v>
      </c>
      <c r="I377">
        <f>IF(F377=1,1,IF(F377&lt;=3,1,IF(F377&lt;=5,3,IF(F377&lt;=7,5,7))))</f>
      </c>
      <c r="J377">
        <f>IF(F377=1,1,IF(F377&lt;=3,3,IF(F377&lt;=5,5,IF(F377&lt;=7,7,9))))</f>
      </c>
      <c r="K377">
        <f>IF(F377=1,1,IF(F377&lt;=3,5,IF(F377&lt;=5,7,IF(F377&lt;=7,9,9))))</f>
      </c>
      <c r="L377" s="1">
        <f>IF(D377&gt;0,1/K377,I377)</f>
      </c>
      <c r="M377" s="1">
        <f>IF(D377&gt;0,1/J377,J377)</f>
      </c>
      <c r="N377" s="1">
        <f>IF(D377&gt;0,1/I377,K377)</f>
      </c>
    </row>
    <row r="378">
      <c r="A378">
        <v>30</v>
      </c>
      <c r="B378" t="str">
        <v>CP5</v>
      </c>
      <c r="C378" t="str">
        <v>CP9</v>
      </c>
      <c r="D378">
        <v>5</v>
      </c>
      <c r="E378">
        <v>5</v>
      </c>
      <c r="F378">
        <f>ABS(D378)+1</f>
      </c>
      <c r="G378" t="str">
        <v>→ CP9</v>
      </c>
      <c r="H378" t="str">
        <v>VERY_STRONG</v>
      </c>
      <c r="I378">
        <f>IF(F378=1,1,IF(F378&lt;=3,1,IF(F378&lt;=5,3,IF(F378&lt;=7,5,7))))</f>
      </c>
      <c r="J378">
        <f>IF(F378=1,1,IF(F378&lt;=3,3,IF(F378&lt;=5,5,IF(F378&lt;=7,7,9))))</f>
      </c>
      <c r="K378">
        <f>IF(F378=1,1,IF(F378&lt;=3,5,IF(F378&lt;=5,7,IF(F378&lt;=7,9,9))))</f>
      </c>
      <c r="L378" s="1">
        <f>IF(D378&gt;0,1/K378,I378)</f>
      </c>
      <c r="M378" s="1">
        <f>IF(D378&gt;0,1/J378,J378)</f>
      </c>
      <c r="N378" s="1">
        <f>IF(D378&gt;0,1/I378,K378)</f>
      </c>
    </row>
    <row r="379">
      <c r="A379">
        <v>31</v>
      </c>
      <c r="B379" t="str">
        <v>CP6</v>
      </c>
      <c r="C379" t="str">
        <v>CP7</v>
      </c>
      <c r="D379">
        <v>5</v>
      </c>
      <c r="E379">
        <v>5</v>
      </c>
      <c r="F379">
        <f>ABS(D379)+1</f>
      </c>
      <c r="G379" t="str">
        <v>→ CP7</v>
      </c>
      <c r="H379" t="str">
        <v>VERY_STRONG</v>
      </c>
      <c r="I379">
        <f>IF(F379=1,1,IF(F379&lt;=3,1,IF(F379&lt;=5,3,IF(F379&lt;=7,5,7))))</f>
      </c>
      <c r="J379">
        <f>IF(F379=1,1,IF(F379&lt;=3,3,IF(F379&lt;=5,5,IF(F379&lt;=7,7,9))))</f>
      </c>
      <c r="K379">
        <f>IF(F379=1,1,IF(F379&lt;=3,5,IF(F379&lt;=5,7,IF(F379&lt;=7,9,9))))</f>
      </c>
      <c r="L379" s="1">
        <f>IF(D379&gt;0,1/K379,I379)</f>
      </c>
      <c r="M379" s="1">
        <f>IF(D379&gt;0,1/J379,J379)</f>
      </c>
      <c r="N379" s="1">
        <f>IF(D379&gt;0,1/I379,K379)</f>
      </c>
    </row>
    <row r="380">
      <c r="A380">
        <v>32</v>
      </c>
      <c r="B380" t="str">
        <v>CP6</v>
      </c>
      <c r="C380" t="str">
        <v>CP8</v>
      </c>
      <c r="D380">
        <v>4</v>
      </c>
      <c r="E380">
        <v>4</v>
      </c>
      <c r="F380">
        <f>ABS(D380)+1</f>
      </c>
      <c r="G380" t="str">
        <v>→ CP8</v>
      </c>
      <c r="H380" t="str">
        <v>STRONG</v>
      </c>
      <c r="I380">
        <f>IF(F380=1,1,IF(F380&lt;=3,1,IF(F380&lt;=5,3,IF(F380&lt;=7,5,7))))</f>
      </c>
      <c r="J380">
        <f>IF(F380=1,1,IF(F380&lt;=3,3,IF(F380&lt;=5,5,IF(F380&lt;=7,7,9))))</f>
      </c>
      <c r="K380">
        <f>IF(F380=1,1,IF(F380&lt;=3,5,IF(F380&lt;=5,7,IF(F380&lt;=7,9,9))))</f>
      </c>
      <c r="L380" s="1">
        <f>IF(D380&gt;0,1/K380,I380)</f>
      </c>
      <c r="M380" s="1">
        <f>IF(D380&gt;0,1/J380,J380)</f>
      </c>
      <c r="N380" s="1">
        <f>IF(D380&gt;0,1/I380,K380)</f>
      </c>
    </row>
    <row r="381">
      <c r="A381">
        <v>33</v>
      </c>
      <c r="B381" t="str">
        <v>CP6</v>
      </c>
      <c r="C381" t="str">
        <v>CP9</v>
      </c>
      <c r="D381">
        <v>5</v>
      </c>
      <c r="E381">
        <v>5</v>
      </c>
      <c r="F381">
        <f>ABS(D381)+1</f>
      </c>
      <c r="G381" t="str">
        <v>→ CP9</v>
      </c>
      <c r="H381" t="str">
        <v>VERY_STRONG</v>
      </c>
      <c r="I381">
        <f>IF(F381=1,1,IF(F381&lt;=3,1,IF(F381&lt;=5,3,IF(F381&lt;=7,5,7))))</f>
      </c>
      <c r="J381">
        <f>IF(F381=1,1,IF(F381&lt;=3,3,IF(F381&lt;=5,5,IF(F381&lt;=7,7,9))))</f>
      </c>
      <c r="K381">
        <f>IF(F381=1,1,IF(F381&lt;=3,5,IF(F381&lt;=5,7,IF(F381&lt;=7,9,9))))</f>
      </c>
      <c r="L381" s="1">
        <f>IF(D381&gt;0,1/K381,I381)</f>
      </c>
      <c r="M381" s="1">
        <f>IF(D381&gt;0,1/J381,J381)</f>
      </c>
      <c r="N381" s="1">
        <f>IF(D381&gt;0,1/I381,K381)</f>
      </c>
    </row>
    <row r="382">
      <c r="A382">
        <v>34</v>
      </c>
      <c r="B382" t="str">
        <v>CP7</v>
      </c>
      <c r="C382" t="str">
        <v>CP8</v>
      </c>
      <c r="D382">
        <v>-4</v>
      </c>
      <c r="E382">
        <v>4</v>
      </c>
      <c r="F382">
        <f>ABS(D382)+1</f>
      </c>
      <c r="G382" t="str">
        <v>← CP7</v>
      </c>
      <c r="H382" t="str">
        <v>STRONG</v>
      </c>
      <c r="I382">
        <f>IF(F382=1,1,IF(F382&lt;=3,1,IF(F382&lt;=5,3,IF(F382&lt;=7,5,7))))</f>
      </c>
      <c r="J382">
        <f>IF(F382=1,1,IF(F382&lt;=3,3,IF(F382&lt;=5,5,IF(F382&lt;=7,7,9))))</f>
      </c>
      <c r="K382">
        <f>IF(F382=1,1,IF(F382&lt;=3,5,IF(F382&lt;=5,7,IF(F382&lt;=7,9,9))))</f>
      </c>
      <c r="L382" s="1">
        <f>IF(D382&gt;0,1/K382,I382)</f>
      </c>
      <c r="M382" s="1">
        <f>IF(D382&gt;0,1/J382,J382)</f>
      </c>
      <c r="N382" s="1">
        <f>IF(D382&gt;0,1/I382,K382)</f>
      </c>
    </row>
    <row r="383">
      <c r="A383">
        <v>35</v>
      </c>
      <c r="B383" t="str">
        <v>CP7</v>
      </c>
      <c r="C383" t="str">
        <v>CP9</v>
      </c>
      <c r="D383">
        <v>-4</v>
      </c>
      <c r="E383">
        <v>4</v>
      </c>
      <c r="F383">
        <f>ABS(D383)+1</f>
      </c>
      <c r="G383" t="str">
        <v>← CP7</v>
      </c>
      <c r="H383" t="str">
        <v>STRONG</v>
      </c>
      <c r="I383">
        <f>IF(F383=1,1,IF(F383&lt;=3,1,IF(F383&lt;=5,3,IF(F383&lt;=7,5,7))))</f>
      </c>
      <c r="J383">
        <f>IF(F383=1,1,IF(F383&lt;=3,3,IF(F383&lt;=5,5,IF(F383&lt;=7,7,9))))</f>
      </c>
      <c r="K383">
        <f>IF(F383=1,1,IF(F383&lt;=3,5,IF(F383&lt;=5,7,IF(F383&lt;=7,9,9))))</f>
      </c>
      <c r="L383" s="1">
        <f>IF(D383&gt;0,1/K383,I383)</f>
      </c>
      <c r="M383" s="1">
        <f>IF(D383&gt;0,1/J383,J383)</f>
      </c>
      <c r="N383" s="1">
        <f>IF(D383&gt;0,1/I383,K383)</f>
      </c>
    </row>
    <row r="384">
      <c r="A384">
        <v>36</v>
      </c>
      <c r="B384" t="str">
        <v>CP8</v>
      </c>
      <c r="C384" t="str">
        <v>CP9</v>
      </c>
      <c r="D384">
        <v>-4</v>
      </c>
      <c r="E384">
        <v>4</v>
      </c>
      <c r="F384">
        <f>ABS(D384)+1</f>
      </c>
      <c r="G384" t="str">
        <v>← CP8</v>
      </c>
      <c r="H384" t="str">
        <v>STRONG</v>
      </c>
      <c r="I384">
        <f>IF(F384=1,1,IF(F384&lt;=3,1,IF(F384&lt;=5,3,IF(F384&lt;=7,5,7))))</f>
      </c>
      <c r="J384">
        <f>IF(F384=1,1,IF(F384&lt;=3,3,IF(F384&lt;=5,5,IF(F384&lt;=7,7,9))))</f>
      </c>
      <c r="K384">
        <f>IF(F384=1,1,IF(F384&lt;=3,5,IF(F384&lt;=5,7,IF(F384&lt;=7,9,9))))</f>
      </c>
      <c r="L384" s="1">
        <f>IF(D384&gt;0,1/K384,I384)</f>
      </c>
      <c r="M384" s="1">
        <f>IF(D384&gt;0,1/J384,J384)</f>
      </c>
      <c r="N384" s="1">
        <f>IF(D384&gt;0,1/I384,K384)</f>
      </c>
    </row>
    <row r="387">
      <c r="A387" t="str">
        <v>═══ RESPONDEN 10: Drh. Indahlia Syahfitri Bangun ═══</v>
      </c>
    </row>
    <row r="388">
      <c r="A388" t="str">
        <v>Jabatan: Medik Veteriner Ahli Pertama | Instansi: Dinas Peternakan dan Kesehatan Hewan Provinsi Riau</v>
      </c>
    </row>
    <row r="389">
      <c r="A389" t="str">
        <v>No</v>
      </c>
      <c r="B389" t="str">
        <v>Krit. A</v>
      </c>
      <c r="C389" t="str">
        <v>Krit. B</v>
      </c>
      <c r="D389" t="str">
        <v>Slider</v>
      </c>
      <c r="E389" t="str">
        <v>|Slider|</v>
      </c>
      <c r="F389" t="str">
        <v>absVal</v>
      </c>
      <c r="G389" t="str">
        <v>Arah</v>
      </c>
      <c r="H389" t="str">
        <v>Fuzzy</v>
      </c>
      <c r="I389" t="str">
        <v>l_orig</v>
      </c>
      <c r="J389" t="str">
        <v>m_orig</v>
      </c>
      <c r="K389" t="str">
        <v>u_orig</v>
      </c>
      <c r="L389" t="str">
        <v>TFN_l</v>
      </c>
      <c r="M389" t="str">
        <v>TFN_m</v>
      </c>
      <c r="N389" t="str">
        <v>TFN_u</v>
      </c>
    </row>
    <row r="390">
      <c r="A390">
        <v>1</v>
      </c>
      <c r="B390" t="str">
        <v>CP1</v>
      </c>
      <c r="C390" t="str">
        <v>CP2</v>
      </c>
      <c r="D390">
        <v>6</v>
      </c>
      <c r="E390">
        <v>6</v>
      </c>
      <c r="F390">
        <f>ABS(D390)+1</f>
      </c>
      <c r="G390" t="str">
        <v>→ CP2</v>
      </c>
      <c r="H390" t="str">
        <v>VERY_STRONG</v>
      </c>
      <c r="I390">
        <f>IF(F390=1,1,IF(F390&lt;=3,1,IF(F390&lt;=5,3,IF(F390&lt;=7,5,7))))</f>
      </c>
      <c r="J390">
        <f>IF(F390=1,1,IF(F390&lt;=3,3,IF(F390&lt;=5,5,IF(F390&lt;=7,7,9))))</f>
      </c>
      <c r="K390">
        <f>IF(F390=1,1,IF(F390&lt;=3,5,IF(F390&lt;=5,7,IF(F390&lt;=7,9,9))))</f>
      </c>
      <c r="L390" s="1">
        <f>IF(D390&gt;0,1/K390,I390)</f>
      </c>
      <c r="M390" s="1">
        <f>IF(D390&gt;0,1/J390,J390)</f>
      </c>
      <c r="N390" s="1">
        <f>IF(D390&gt;0,1/I390,K390)</f>
      </c>
    </row>
    <row r="391">
      <c r="A391">
        <v>2</v>
      </c>
      <c r="B391" t="str">
        <v>CP1</v>
      </c>
      <c r="C391" t="str">
        <v>CP3</v>
      </c>
      <c r="D391">
        <v>-5</v>
      </c>
      <c r="E391">
        <v>5</v>
      </c>
      <c r="F391">
        <f>ABS(D391)+1</f>
      </c>
      <c r="G391" t="str">
        <v>← CP1</v>
      </c>
      <c r="H391" t="str">
        <v>VERY_STRONG</v>
      </c>
      <c r="I391">
        <f>IF(F391=1,1,IF(F391&lt;=3,1,IF(F391&lt;=5,3,IF(F391&lt;=7,5,7))))</f>
      </c>
      <c r="J391">
        <f>IF(F391=1,1,IF(F391&lt;=3,3,IF(F391&lt;=5,5,IF(F391&lt;=7,7,9))))</f>
      </c>
      <c r="K391">
        <f>IF(F391=1,1,IF(F391&lt;=3,5,IF(F391&lt;=5,7,IF(F391&lt;=7,9,9))))</f>
      </c>
      <c r="L391" s="1">
        <f>IF(D391&gt;0,1/K391,I391)</f>
      </c>
      <c r="M391" s="1">
        <f>IF(D391&gt;0,1/J391,J391)</f>
      </c>
      <c r="N391" s="1">
        <f>IF(D391&gt;0,1/I391,K391)</f>
      </c>
    </row>
    <row r="392">
      <c r="A392">
        <v>3</v>
      </c>
      <c r="B392" t="str">
        <v>CP1</v>
      </c>
      <c r="C392" t="str">
        <v>CP4</v>
      </c>
      <c r="D392">
        <v>8</v>
      </c>
      <c r="E392">
        <v>8</v>
      </c>
      <c r="F392">
        <f>ABS(D392)+1</f>
      </c>
      <c r="G392" t="str">
        <v>→ CP4</v>
      </c>
      <c r="H392" t="str">
        <v>EXTREME</v>
      </c>
      <c r="I392">
        <f>IF(F392=1,1,IF(F392&lt;=3,1,IF(F392&lt;=5,3,IF(F392&lt;=7,5,7))))</f>
      </c>
      <c r="J392">
        <f>IF(F392=1,1,IF(F392&lt;=3,3,IF(F392&lt;=5,5,IF(F392&lt;=7,7,9))))</f>
      </c>
      <c r="K392">
        <f>IF(F392=1,1,IF(F392&lt;=3,5,IF(F392&lt;=5,7,IF(F392&lt;=7,9,9))))</f>
      </c>
      <c r="L392" s="1">
        <f>IF(D392&gt;0,1/K392,I392)</f>
      </c>
      <c r="M392" s="1">
        <f>IF(D392&gt;0,1/J392,J392)</f>
      </c>
      <c r="N392" s="1">
        <f>IF(D392&gt;0,1/I392,K392)</f>
      </c>
    </row>
    <row r="393">
      <c r="A393">
        <v>4</v>
      </c>
      <c r="B393" t="str">
        <v>CP1</v>
      </c>
      <c r="C393" t="str">
        <v>CP5</v>
      </c>
      <c r="D393">
        <v>8</v>
      </c>
      <c r="E393">
        <v>8</v>
      </c>
      <c r="F393">
        <f>ABS(D393)+1</f>
      </c>
      <c r="G393" t="str">
        <v>→ CP5</v>
      </c>
      <c r="H393" t="str">
        <v>EXTREME</v>
      </c>
      <c r="I393">
        <f>IF(F393=1,1,IF(F393&lt;=3,1,IF(F393&lt;=5,3,IF(F393&lt;=7,5,7))))</f>
      </c>
      <c r="J393">
        <f>IF(F393=1,1,IF(F393&lt;=3,3,IF(F393&lt;=5,5,IF(F393&lt;=7,7,9))))</f>
      </c>
      <c r="K393">
        <f>IF(F393=1,1,IF(F393&lt;=3,5,IF(F393&lt;=5,7,IF(F393&lt;=7,9,9))))</f>
      </c>
      <c r="L393" s="1">
        <f>IF(D393&gt;0,1/K393,I393)</f>
      </c>
      <c r="M393" s="1">
        <f>IF(D393&gt;0,1/J393,J393)</f>
      </c>
      <c r="N393" s="1">
        <f>IF(D393&gt;0,1/I393,K393)</f>
      </c>
    </row>
    <row r="394">
      <c r="A394">
        <v>5</v>
      </c>
      <c r="B394" t="str">
        <v>CP1</v>
      </c>
      <c r="C394" t="str">
        <v>CP6</v>
      </c>
      <c r="D394">
        <v>8</v>
      </c>
      <c r="E394">
        <v>8</v>
      </c>
      <c r="F394">
        <f>ABS(D394)+1</f>
      </c>
      <c r="G394" t="str">
        <v>→ CP6</v>
      </c>
      <c r="H394" t="str">
        <v>EXTREME</v>
      </c>
      <c r="I394">
        <f>IF(F394=1,1,IF(F394&lt;=3,1,IF(F394&lt;=5,3,IF(F394&lt;=7,5,7))))</f>
      </c>
      <c r="J394">
        <f>IF(F394=1,1,IF(F394&lt;=3,3,IF(F394&lt;=5,5,IF(F394&lt;=7,7,9))))</f>
      </c>
      <c r="K394">
        <f>IF(F394=1,1,IF(F394&lt;=3,5,IF(F394&lt;=5,7,IF(F394&lt;=7,9,9))))</f>
      </c>
      <c r="L394" s="1">
        <f>IF(D394&gt;0,1/K394,I394)</f>
      </c>
      <c r="M394" s="1">
        <f>IF(D394&gt;0,1/J394,J394)</f>
      </c>
      <c r="N394" s="1">
        <f>IF(D394&gt;0,1/I394,K394)</f>
      </c>
    </row>
    <row r="395">
      <c r="A395">
        <v>6</v>
      </c>
      <c r="B395" t="str">
        <v>CP1</v>
      </c>
      <c r="C395" t="str">
        <v>CP7</v>
      </c>
      <c r="D395">
        <v>8</v>
      </c>
      <c r="E395">
        <v>8</v>
      </c>
      <c r="F395">
        <f>ABS(D395)+1</f>
      </c>
      <c r="G395" t="str">
        <v>→ CP7</v>
      </c>
      <c r="H395" t="str">
        <v>EXTREME</v>
      </c>
      <c r="I395">
        <f>IF(F395=1,1,IF(F395&lt;=3,1,IF(F395&lt;=5,3,IF(F395&lt;=7,5,7))))</f>
      </c>
      <c r="J395">
        <f>IF(F395=1,1,IF(F395&lt;=3,3,IF(F395&lt;=5,5,IF(F395&lt;=7,7,9))))</f>
      </c>
      <c r="K395">
        <f>IF(F395=1,1,IF(F395&lt;=3,5,IF(F395&lt;=5,7,IF(F395&lt;=7,9,9))))</f>
      </c>
      <c r="L395" s="1">
        <f>IF(D395&gt;0,1/K395,I395)</f>
      </c>
      <c r="M395" s="1">
        <f>IF(D395&gt;0,1/J395,J395)</f>
      </c>
      <c r="N395" s="1">
        <f>IF(D395&gt;0,1/I395,K395)</f>
      </c>
    </row>
    <row r="396">
      <c r="A396">
        <v>7</v>
      </c>
      <c r="B396" t="str">
        <v>CP1</v>
      </c>
      <c r="C396" t="str">
        <v>CP8</v>
      </c>
      <c r="D396">
        <v>8</v>
      </c>
      <c r="E396">
        <v>8</v>
      </c>
      <c r="F396">
        <f>ABS(D396)+1</f>
      </c>
      <c r="G396" t="str">
        <v>→ CP8</v>
      </c>
      <c r="H396" t="str">
        <v>EXTREME</v>
      </c>
      <c r="I396">
        <f>IF(F396=1,1,IF(F396&lt;=3,1,IF(F396&lt;=5,3,IF(F396&lt;=7,5,7))))</f>
      </c>
      <c r="J396">
        <f>IF(F396=1,1,IF(F396&lt;=3,3,IF(F396&lt;=5,5,IF(F396&lt;=7,7,9))))</f>
      </c>
      <c r="K396">
        <f>IF(F396=1,1,IF(F396&lt;=3,5,IF(F396&lt;=5,7,IF(F396&lt;=7,9,9))))</f>
      </c>
      <c r="L396" s="1">
        <f>IF(D396&gt;0,1/K396,I396)</f>
      </c>
      <c r="M396" s="1">
        <f>IF(D396&gt;0,1/J396,J396)</f>
      </c>
      <c r="N396" s="1">
        <f>IF(D396&gt;0,1/I396,K396)</f>
      </c>
    </row>
    <row r="397">
      <c r="A397">
        <v>8</v>
      </c>
      <c r="B397" t="str">
        <v>CP1</v>
      </c>
      <c r="C397" t="str">
        <v>CP9</v>
      </c>
      <c r="D397">
        <v>3</v>
      </c>
      <c r="E397">
        <v>3</v>
      </c>
      <c r="F397">
        <f>ABS(D397)+1</f>
      </c>
      <c r="G397" t="str">
        <v>→ CP9</v>
      </c>
      <c r="H397" t="str">
        <v>STRONG</v>
      </c>
      <c r="I397">
        <f>IF(F397=1,1,IF(F397&lt;=3,1,IF(F397&lt;=5,3,IF(F397&lt;=7,5,7))))</f>
      </c>
      <c r="J397">
        <f>IF(F397=1,1,IF(F397&lt;=3,3,IF(F397&lt;=5,5,IF(F397&lt;=7,7,9))))</f>
      </c>
      <c r="K397">
        <f>IF(F397=1,1,IF(F397&lt;=3,5,IF(F397&lt;=5,7,IF(F397&lt;=7,9,9))))</f>
      </c>
      <c r="L397" s="1">
        <f>IF(D397&gt;0,1/K397,I397)</f>
      </c>
      <c r="M397" s="1">
        <f>IF(D397&gt;0,1/J397,J397)</f>
      </c>
      <c r="N397" s="1">
        <f>IF(D397&gt;0,1/I397,K397)</f>
      </c>
    </row>
    <row r="398">
      <c r="A398">
        <v>9</v>
      </c>
      <c r="B398" t="str">
        <v>CP2</v>
      </c>
      <c r="C398" t="str">
        <v>CP3</v>
      </c>
      <c r="D398">
        <v>-5</v>
      </c>
      <c r="E398">
        <v>5</v>
      </c>
      <c r="F398">
        <f>ABS(D398)+1</f>
      </c>
      <c r="G398" t="str">
        <v>← CP2</v>
      </c>
      <c r="H398" t="str">
        <v>VERY_STRONG</v>
      </c>
      <c r="I398">
        <f>IF(F398=1,1,IF(F398&lt;=3,1,IF(F398&lt;=5,3,IF(F398&lt;=7,5,7))))</f>
      </c>
      <c r="J398">
        <f>IF(F398=1,1,IF(F398&lt;=3,3,IF(F398&lt;=5,5,IF(F398&lt;=7,7,9))))</f>
      </c>
      <c r="K398">
        <f>IF(F398=1,1,IF(F398&lt;=3,5,IF(F398&lt;=5,7,IF(F398&lt;=7,9,9))))</f>
      </c>
      <c r="L398" s="1">
        <f>IF(D398&gt;0,1/K398,I398)</f>
      </c>
      <c r="M398" s="1">
        <f>IF(D398&gt;0,1/J398,J398)</f>
      </c>
      <c r="N398" s="1">
        <f>IF(D398&gt;0,1/I398,K398)</f>
      </c>
    </row>
    <row r="399">
      <c r="A399">
        <v>10</v>
      </c>
      <c r="B399" t="str">
        <v>CP2</v>
      </c>
      <c r="C399" t="str">
        <v>CP4</v>
      </c>
      <c r="D399">
        <v>0</v>
      </c>
      <c r="E399">
        <v>0</v>
      </c>
      <c r="F399">
        <f>ABS(D399)+1</f>
      </c>
      <c r="G399" t="str">
        <v>= Sama</v>
      </c>
      <c r="H399" t="str">
        <v>EQUAL</v>
      </c>
      <c r="I399">
        <f>IF(F399=1,1,IF(F399&lt;=3,1,IF(F399&lt;=5,3,IF(F399&lt;=7,5,7))))</f>
      </c>
      <c r="J399">
        <f>IF(F399=1,1,IF(F399&lt;=3,3,IF(F399&lt;=5,5,IF(F399&lt;=7,7,9))))</f>
      </c>
      <c r="K399">
        <f>IF(F399=1,1,IF(F399&lt;=3,5,IF(F399&lt;=5,7,IF(F399&lt;=7,9,9))))</f>
      </c>
      <c r="L399" s="1">
        <f>IF(D399&gt;0,1/K399,I399)</f>
      </c>
      <c r="M399" s="1">
        <f>IF(D399&gt;0,1/J399,J399)</f>
      </c>
      <c r="N399" s="1">
        <f>IF(D399&gt;0,1/I399,K399)</f>
      </c>
    </row>
    <row r="400">
      <c r="A400">
        <v>11</v>
      </c>
      <c r="B400" t="str">
        <v>CP2</v>
      </c>
      <c r="C400" t="str">
        <v>CP5</v>
      </c>
      <c r="D400">
        <v>0</v>
      </c>
      <c r="E400">
        <v>0</v>
      </c>
      <c r="F400">
        <f>ABS(D400)+1</f>
      </c>
      <c r="G400" t="str">
        <v>= Sama</v>
      </c>
      <c r="H400" t="str">
        <v>EQUAL</v>
      </c>
      <c r="I400">
        <f>IF(F400=1,1,IF(F400&lt;=3,1,IF(F400&lt;=5,3,IF(F400&lt;=7,5,7))))</f>
      </c>
      <c r="J400">
        <f>IF(F400=1,1,IF(F400&lt;=3,3,IF(F400&lt;=5,5,IF(F400&lt;=7,7,9))))</f>
      </c>
      <c r="K400">
        <f>IF(F400=1,1,IF(F400&lt;=3,5,IF(F400&lt;=5,7,IF(F400&lt;=7,9,9))))</f>
      </c>
      <c r="L400" s="1">
        <f>IF(D400&gt;0,1/K400,I400)</f>
      </c>
      <c r="M400" s="1">
        <f>IF(D400&gt;0,1/J400,J400)</f>
      </c>
      <c r="N400" s="1">
        <f>IF(D400&gt;0,1/I400,K400)</f>
      </c>
    </row>
    <row r="401">
      <c r="A401">
        <v>12</v>
      </c>
      <c r="B401" t="str">
        <v>CP2</v>
      </c>
      <c r="C401" t="str">
        <v>CP6</v>
      </c>
      <c r="D401">
        <v>0</v>
      </c>
      <c r="E401">
        <v>0</v>
      </c>
      <c r="F401">
        <f>ABS(D401)+1</f>
      </c>
      <c r="G401" t="str">
        <v>= Sama</v>
      </c>
      <c r="H401" t="str">
        <v>EQUAL</v>
      </c>
      <c r="I401">
        <f>IF(F401=1,1,IF(F401&lt;=3,1,IF(F401&lt;=5,3,IF(F401&lt;=7,5,7))))</f>
      </c>
      <c r="J401">
        <f>IF(F401=1,1,IF(F401&lt;=3,3,IF(F401&lt;=5,5,IF(F401&lt;=7,7,9))))</f>
      </c>
      <c r="K401">
        <f>IF(F401=1,1,IF(F401&lt;=3,5,IF(F401&lt;=5,7,IF(F401&lt;=7,9,9))))</f>
      </c>
      <c r="L401" s="1">
        <f>IF(D401&gt;0,1/K401,I401)</f>
      </c>
      <c r="M401" s="1">
        <f>IF(D401&gt;0,1/J401,J401)</f>
      </c>
      <c r="N401" s="1">
        <f>IF(D401&gt;0,1/I401,K401)</f>
      </c>
    </row>
    <row r="402">
      <c r="A402">
        <v>13</v>
      </c>
      <c r="B402" t="str">
        <v>CP2</v>
      </c>
      <c r="C402" t="str">
        <v>CP7</v>
      </c>
      <c r="D402">
        <v>0</v>
      </c>
      <c r="E402">
        <v>0</v>
      </c>
      <c r="F402">
        <f>ABS(D402)+1</f>
      </c>
      <c r="G402" t="str">
        <v>= Sama</v>
      </c>
      <c r="H402" t="str">
        <v>EQUAL</v>
      </c>
      <c r="I402">
        <f>IF(F402=1,1,IF(F402&lt;=3,1,IF(F402&lt;=5,3,IF(F402&lt;=7,5,7))))</f>
      </c>
      <c r="J402">
        <f>IF(F402=1,1,IF(F402&lt;=3,3,IF(F402&lt;=5,5,IF(F402&lt;=7,7,9))))</f>
      </c>
      <c r="K402">
        <f>IF(F402=1,1,IF(F402&lt;=3,5,IF(F402&lt;=5,7,IF(F402&lt;=7,9,9))))</f>
      </c>
      <c r="L402" s="1">
        <f>IF(D402&gt;0,1/K402,I402)</f>
      </c>
      <c r="M402" s="1">
        <f>IF(D402&gt;0,1/J402,J402)</f>
      </c>
      <c r="N402" s="1">
        <f>IF(D402&gt;0,1/I402,K402)</f>
      </c>
    </row>
    <row r="403">
      <c r="A403">
        <v>14</v>
      </c>
      <c r="B403" t="str">
        <v>CP2</v>
      </c>
      <c r="C403" t="str">
        <v>CP8</v>
      </c>
      <c r="D403">
        <v>-1</v>
      </c>
      <c r="E403">
        <v>1</v>
      </c>
      <c r="F403">
        <f>ABS(D403)+1</f>
      </c>
      <c r="G403" t="str">
        <v>← CP2</v>
      </c>
      <c r="H403" t="str">
        <v>MODERATE</v>
      </c>
      <c r="I403">
        <f>IF(F403=1,1,IF(F403&lt;=3,1,IF(F403&lt;=5,3,IF(F403&lt;=7,5,7))))</f>
      </c>
      <c r="J403">
        <f>IF(F403=1,1,IF(F403&lt;=3,3,IF(F403&lt;=5,5,IF(F403&lt;=7,7,9))))</f>
      </c>
      <c r="K403">
        <f>IF(F403=1,1,IF(F403&lt;=3,5,IF(F403&lt;=5,7,IF(F403&lt;=7,9,9))))</f>
      </c>
      <c r="L403" s="1">
        <f>IF(D403&gt;0,1/K403,I403)</f>
      </c>
      <c r="M403" s="1">
        <f>IF(D403&gt;0,1/J403,J403)</f>
      </c>
      <c r="N403" s="1">
        <f>IF(D403&gt;0,1/I403,K403)</f>
      </c>
    </row>
    <row r="404">
      <c r="A404">
        <v>15</v>
      </c>
      <c r="B404" t="str">
        <v>CP2</v>
      </c>
      <c r="C404" t="str">
        <v>CP9</v>
      </c>
      <c r="D404">
        <v>-1</v>
      </c>
      <c r="E404">
        <v>1</v>
      </c>
      <c r="F404">
        <f>ABS(D404)+1</f>
      </c>
      <c r="G404" t="str">
        <v>← CP2</v>
      </c>
      <c r="H404" t="str">
        <v>MODERATE</v>
      </c>
      <c r="I404">
        <f>IF(F404=1,1,IF(F404&lt;=3,1,IF(F404&lt;=5,3,IF(F404&lt;=7,5,7))))</f>
      </c>
      <c r="J404">
        <f>IF(F404=1,1,IF(F404&lt;=3,3,IF(F404&lt;=5,5,IF(F404&lt;=7,7,9))))</f>
      </c>
      <c r="K404">
        <f>IF(F404=1,1,IF(F404&lt;=3,5,IF(F404&lt;=5,7,IF(F404&lt;=7,9,9))))</f>
      </c>
      <c r="L404" s="1">
        <f>IF(D404&gt;0,1/K404,I404)</f>
      </c>
      <c r="M404" s="1">
        <f>IF(D404&gt;0,1/J404,J404)</f>
      </c>
      <c r="N404" s="1">
        <f>IF(D404&gt;0,1/I404,K404)</f>
      </c>
    </row>
    <row r="405">
      <c r="A405">
        <v>16</v>
      </c>
      <c r="B405" t="str">
        <v>CP3</v>
      </c>
      <c r="C405" t="str">
        <v>CP4</v>
      </c>
      <c r="D405">
        <v>8</v>
      </c>
      <c r="E405">
        <v>8</v>
      </c>
      <c r="F405">
        <f>ABS(D405)+1</f>
      </c>
      <c r="G405" t="str">
        <v>→ CP4</v>
      </c>
      <c r="H405" t="str">
        <v>EXTREME</v>
      </c>
      <c r="I405">
        <f>IF(F405=1,1,IF(F405&lt;=3,1,IF(F405&lt;=5,3,IF(F405&lt;=7,5,7))))</f>
      </c>
      <c r="J405">
        <f>IF(F405=1,1,IF(F405&lt;=3,3,IF(F405&lt;=5,5,IF(F405&lt;=7,7,9))))</f>
      </c>
      <c r="K405">
        <f>IF(F405=1,1,IF(F405&lt;=3,5,IF(F405&lt;=5,7,IF(F405&lt;=7,9,9))))</f>
      </c>
      <c r="L405" s="1">
        <f>IF(D405&gt;0,1/K405,I405)</f>
      </c>
      <c r="M405" s="1">
        <f>IF(D405&gt;0,1/J405,J405)</f>
      </c>
      <c r="N405" s="1">
        <f>IF(D405&gt;0,1/I405,K405)</f>
      </c>
    </row>
    <row r="406">
      <c r="A406">
        <v>17</v>
      </c>
      <c r="B406" t="str">
        <v>CP3</v>
      </c>
      <c r="C406" t="str">
        <v>CP5</v>
      </c>
      <c r="D406">
        <v>0</v>
      </c>
      <c r="E406">
        <v>0</v>
      </c>
      <c r="F406">
        <f>ABS(D406)+1</f>
      </c>
      <c r="G406" t="str">
        <v>= Sama</v>
      </c>
      <c r="H406" t="str">
        <v>EQUAL</v>
      </c>
      <c r="I406">
        <f>IF(F406=1,1,IF(F406&lt;=3,1,IF(F406&lt;=5,3,IF(F406&lt;=7,5,7))))</f>
      </c>
      <c r="J406">
        <f>IF(F406=1,1,IF(F406&lt;=3,3,IF(F406&lt;=5,5,IF(F406&lt;=7,7,9))))</f>
      </c>
      <c r="K406">
        <f>IF(F406=1,1,IF(F406&lt;=3,5,IF(F406&lt;=5,7,IF(F406&lt;=7,9,9))))</f>
      </c>
      <c r="L406" s="1">
        <f>IF(D406&gt;0,1/K406,I406)</f>
      </c>
      <c r="M406" s="1">
        <f>IF(D406&gt;0,1/J406,J406)</f>
      </c>
      <c r="N406" s="1">
        <f>IF(D406&gt;0,1/I406,K406)</f>
      </c>
    </row>
    <row r="407">
      <c r="A407">
        <v>18</v>
      </c>
      <c r="B407" t="str">
        <v>CP3</v>
      </c>
      <c r="C407" t="str">
        <v>CP6</v>
      </c>
      <c r="D407">
        <v>0</v>
      </c>
      <c r="E407">
        <v>0</v>
      </c>
      <c r="F407">
        <f>ABS(D407)+1</f>
      </c>
      <c r="G407" t="str">
        <v>= Sama</v>
      </c>
      <c r="H407" t="str">
        <v>EQUAL</v>
      </c>
      <c r="I407">
        <f>IF(F407=1,1,IF(F407&lt;=3,1,IF(F407&lt;=5,3,IF(F407&lt;=7,5,7))))</f>
      </c>
      <c r="J407">
        <f>IF(F407=1,1,IF(F407&lt;=3,3,IF(F407&lt;=5,5,IF(F407&lt;=7,7,9))))</f>
      </c>
      <c r="K407">
        <f>IF(F407=1,1,IF(F407&lt;=3,5,IF(F407&lt;=5,7,IF(F407&lt;=7,9,9))))</f>
      </c>
      <c r="L407" s="1">
        <f>IF(D407&gt;0,1/K407,I407)</f>
      </c>
      <c r="M407" s="1">
        <f>IF(D407&gt;0,1/J407,J407)</f>
      </c>
      <c r="N407" s="1">
        <f>IF(D407&gt;0,1/I407,K407)</f>
      </c>
    </row>
    <row r="408">
      <c r="A408">
        <v>19</v>
      </c>
      <c r="B408" t="str">
        <v>CP3</v>
      </c>
      <c r="C408" t="str">
        <v>CP7</v>
      </c>
      <c r="D408">
        <v>4</v>
      </c>
      <c r="E408">
        <v>4</v>
      </c>
      <c r="F408">
        <f>ABS(D408)+1</f>
      </c>
      <c r="G408" t="str">
        <v>→ CP7</v>
      </c>
      <c r="H408" t="str">
        <v>STRONG</v>
      </c>
      <c r="I408">
        <f>IF(F408=1,1,IF(F408&lt;=3,1,IF(F408&lt;=5,3,IF(F408&lt;=7,5,7))))</f>
      </c>
      <c r="J408">
        <f>IF(F408=1,1,IF(F408&lt;=3,3,IF(F408&lt;=5,5,IF(F408&lt;=7,7,9))))</f>
      </c>
      <c r="K408">
        <f>IF(F408=1,1,IF(F408&lt;=3,5,IF(F408&lt;=5,7,IF(F408&lt;=7,9,9))))</f>
      </c>
      <c r="L408" s="1">
        <f>IF(D408&gt;0,1/K408,I408)</f>
      </c>
      <c r="M408" s="1">
        <f>IF(D408&gt;0,1/J408,J408)</f>
      </c>
      <c r="N408" s="1">
        <f>IF(D408&gt;0,1/I408,K408)</f>
      </c>
    </row>
    <row r="409">
      <c r="A409">
        <v>20</v>
      </c>
      <c r="B409" t="str">
        <v>CP3</v>
      </c>
      <c r="C409" t="str">
        <v>CP8</v>
      </c>
      <c r="D409">
        <v>8</v>
      </c>
      <c r="E409">
        <v>8</v>
      </c>
      <c r="F409">
        <f>ABS(D409)+1</f>
      </c>
      <c r="G409" t="str">
        <v>→ CP8</v>
      </c>
      <c r="H409" t="str">
        <v>EXTREME</v>
      </c>
      <c r="I409">
        <f>IF(F409=1,1,IF(F409&lt;=3,1,IF(F409&lt;=5,3,IF(F409&lt;=7,5,7))))</f>
      </c>
      <c r="J409">
        <f>IF(F409=1,1,IF(F409&lt;=3,3,IF(F409&lt;=5,5,IF(F409&lt;=7,7,9))))</f>
      </c>
      <c r="K409">
        <f>IF(F409=1,1,IF(F409&lt;=3,5,IF(F409&lt;=5,7,IF(F409&lt;=7,9,9))))</f>
      </c>
      <c r="L409" s="1">
        <f>IF(D409&gt;0,1/K409,I409)</f>
      </c>
      <c r="M409" s="1">
        <f>IF(D409&gt;0,1/J409,J409)</f>
      </c>
      <c r="N409" s="1">
        <f>IF(D409&gt;0,1/I409,K409)</f>
      </c>
    </row>
    <row r="410">
      <c r="A410">
        <v>21</v>
      </c>
      <c r="B410" t="str">
        <v>CP3</v>
      </c>
      <c r="C410" t="str">
        <v>CP9</v>
      </c>
      <c r="D410">
        <v>8</v>
      </c>
      <c r="E410">
        <v>8</v>
      </c>
      <c r="F410">
        <f>ABS(D410)+1</f>
      </c>
      <c r="G410" t="str">
        <v>→ CP9</v>
      </c>
      <c r="H410" t="str">
        <v>EXTREME</v>
      </c>
      <c r="I410">
        <f>IF(F410=1,1,IF(F410&lt;=3,1,IF(F410&lt;=5,3,IF(F410&lt;=7,5,7))))</f>
      </c>
      <c r="J410">
        <f>IF(F410=1,1,IF(F410&lt;=3,3,IF(F410&lt;=5,5,IF(F410&lt;=7,7,9))))</f>
      </c>
      <c r="K410">
        <f>IF(F410=1,1,IF(F410&lt;=3,5,IF(F410&lt;=5,7,IF(F410&lt;=7,9,9))))</f>
      </c>
      <c r="L410" s="1">
        <f>IF(D410&gt;0,1/K410,I410)</f>
      </c>
      <c r="M410" s="1">
        <f>IF(D410&gt;0,1/J410,J410)</f>
      </c>
      <c r="N410" s="1">
        <f>IF(D410&gt;0,1/I410,K410)</f>
      </c>
    </row>
    <row r="411">
      <c r="A411">
        <v>22</v>
      </c>
      <c r="B411" t="str">
        <v>CP4</v>
      </c>
      <c r="C411" t="str">
        <v>CP5</v>
      </c>
      <c r="D411">
        <v>8</v>
      </c>
      <c r="E411">
        <v>8</v>
      </c>
      <c r="F411">
        <f>ABS(D411)+1</f>
      </c>
      <c r="G411" t="str">
        <v>→ CP5</v>
      </c>
      <c r="H411" t="str">
        <v>EXTREME</v>
      </c>
      <c r="I411">
        <f>IF(F411=1,1,IF(F411&lt;=3,1,IF(F411&lt;=5,3,IF(F411&lt;=7,5,7))))</f>
      </c>
      <c r="J411">
        <f>IF(F411=1,1,IF(F411&lt;=3,3,IF(F411&lt;=5,5,IF(F411&lt;=7,7,9))))</f>
      </c>
      <c r="K411">
        <f>IF(F411=1,1,IF(F411&lt;=3,5,IF(F411&lt;=5,7,IF(F411&lt;=7,9,9))))</f>
      </c>
      <c r="L411" s="1">
        <f>IF(D411&gt;0,1/K411,I411)</f>
      </c>
      <c r="M411" s="1">
        <f>IF(D411&gt;0,1/J411,J411)</f>
      </c>
      <c r="N411" s="1">
        <f>IF(D411&gt;0,1/I411,K411)</f>
      </c>
    </row>
    <row r="412">
      <c r="A412">
        <v>23</v>
      </c>
      <c r="B412" t="str">
        <v>CP4</v>
      </c>
      <c r="C412" t="str">
        <v>CP6</v>
      </c>
      <c r="D412">
        <v>8</v>
      </c>
      <c r="E412">
        <v>8</v>
      </c>
      <c r="F412">
        <f>ABS(D412)+1</f>
      </c>
      <c r="G412" t="str">
        <v>→ CP6</v>
      </c>
      <c r="H412" t="str">
        <v>EXTREME</v>
      </c>
      <c r="I412">
        <f>IF(F412=1,1,IF(F412&lt;=3,1,IF(F412&lt;=5,3,IF(F412&lt;=7,5,7))))</f>
      </c>
      <c r="J412">
        <f>IF(F412=1,1,IF(F412&lt;=3,3,IF(F412&lt;=5,5,IF(F412&lt;=7,7,9))))</f>
      </c>
      <c r="K412">
        <f>IF(F412=1,1,IF(F412&lt;=3,5,IF(F412&lt;=5,7,IF(F412&lt;=7,9,9))))</f>
      </c>
      <c r="L412" s="1">
        <f>IF(D412&gt;0,1/K412,I412)</f>
      </c>
      <c r="M412" s="1">
        <f>IF(D412&gt;0,1/J412,J412)</f>
      </c>
      <c r="N412" s="1">
        <f>IF(D412&gt;0,1/I412,K412)</f>
      </c>
    </row>
    <row r="413">
      <c r="A413">
        <v>24</v>
      </c>
      <c r="B413" t="str">
        <v>CP4</v>
      </c>
      <c r="C413" t="str">
        <v>CP7</v>
      </c>
      <c r="D413">
        <v>8</v>
      </c>
      <c r="E413">
        <v>8</v>
      </c>
      <c r="F413">
        <f>ABS(D413)+1</f>
      </c>
      <c r="G413" t="str">
        <v>→ CP7</v>
      </c>
      <c r="H413" t="str">
        <v>EXTREME</v>
      </c>
      <c r="I413">
        <f>IF(F413=1,1,IF(F413&lt;=3,1,IF(F413&lt;=5,3,IF(F413&lt;=7,5,7))))</f>
      </c>
      <c r="J413">
        <f>IF(F413=1,1,IF(F413&lt;=3,3,IF(F413&lt;=5,5,IF(F413&lt;=7,7,9))))</f>
      </c>
      <c r="K413">
        <f>IF(F413=1,1,IF(F413&lt;=3,5,IF(F413&lt;=5,7,IF(F413&lt;=7,9,9))))</f>
      </c>
      <c r="L413" s="1">
        <f>IF(D413&gt;0,1/K413,I413)</f>
      </c>
      <c r="M413" s="1">
        <f>IF(D413&gt;0,1/J413,J413)</f>
      </c>
      <c r="N413" s="1">
        <f>IF(D413&gt;0,1/I413,K413)</f>
      </c>
    </row>
    <row r="414">
      <c r="A414">
        <v>25</v>
      </c>
      <c r="B414" t="str">
        <v>CP4</v>
      </c>
      <c r="C414" t="str">
        <v>CP8</v>
      </c>
      <c r="D414">
        <v>1</v>
      </c>
      <c r="E414">
        <v>1</v>
      </c>
      <c r="F414">
        <f>ABS(D414)+1</f>
      </c>
      <c r="G414" t="str">
        <v>→ CP8</v>
      </c>
      <c r="H414" t="str">
        <v>MODERATE</v>
      </c>
      <c r="I414">
        <f>IF(F414=1,1,IF(F414&lt;=3,1,IF(F414&lt;=5,3,IF(F414&lt;=7,5,7))))</f>
      </c>
      <c r="J414">
        <f>IF(F414=1,1,IF(F414&lt;=3,3,IF(F414&lt;=5,5,IF(F414&lt;=7,7,9))))</f>
      </c>
      <c r="K414">
        <f>IF(F414=1,1,IF(F414&lt;=3,5,IF(F414&lt;=5,7,IF(F414&lt;=7,9,9))))</f>
      </c>
      <c r="L414" s="1">
        <f>IF(D414&gt;0,1/K414,I414)</f>
      </c>
      <c r="M414" s="1">
        <f>IF(D414&gt;0,1/J414,J414)</f>
      </c>
      <c r="N414" s="1">
        <f>IF(D414&gt;0,1/I414,K414)</f>
      </c>
    </row>
    <row r="415">
      <c r="A415">
        <v>26</v>
      </c>
      <c r="B415" t="str">
        <v>CP4</v>
      </c>
      <c r="C415" t="str">
        <v>CP9</v>
      </c>
      <c r="D415">
        <v>0</v>
      </c>
      <c r="E415">
        <v>0</v>
      </c>
      <c r="F415">
        <f>ABS(D415)+1</f>
      </c>
      <c r="G415" t="str">
        <v>= Sama</v>
      </c>
      <c r="H415" t="str">
        <v>EQUAL</v>
      </c>
      <c r="I415">
        <f>IF(F415=1,1,IF(F415&lt;=3,1,IF(F415&lt;=5,3,IF(F415&lt;=7,5,7))))</f>
      </c>
      <c r="J415">
        <f>IF(F415=1,1,IF(F415&lt;=3,3,IF(F415&lt;=5,5,IF(F415&lt;=7,7,9))))</f>
      </c>
      <c r="K415">
        <f>IF(F415=1,1,IF(F415&lt;=3,5,IF(F415&lt;=5,7,IF(F415&lt;=7,9,9))))</f>
      </c>
      <c r="L415" s="1">
        <f>IF(D415&gt;0,1/K415,I415)</f>
      </c>
      <c r="M415" s="1">
        <f>IF(D415&gt;0,1/J415,J415)</f>
      </c>
      <c r="N415" s="1">
        <f>IF(D415&gt;0,1/I415,K415)</f>
      </c>
    </row>
    <row r="416">
      <c r="A416">
        <v>27</v>
      </c>
      <c r="B416" t="str">
        <v>CP5</v>
      </c>
      <c r="C416" t="str">
        <v>CP6</v>
      </c>
      <c r="D416">
        <v>0</v>
      </c>
      <c r="E416">
        <v>0</v>
      </c>
      <c r="F416">
        <f>ABS(D416)+1</f>
      </c>
      <c r="G416" t="str">
        <v>= Sama</v>
      </c>
      <c r="H416" t="str">
        <v>EQUAL</v>
      </c>
      <c r="I416">
        <f>IF(F416=1,1,IF(F416&lt;=3,1,IF(F416&lt;=5,3,IF(F416&lt;=7,5,7))))</f>
      </c>
      <c r="J416">
        <f>IF(F416=1,1,IF(F416&lt;=3,3,IF(F416&lt;=5,5,IF(F416&lt;=7,7,9))))</f>
      </c>
      <c r="K416">
        <f>IF(F416=1,1,IF(F416&lt;=3,5,IF(F416&lt;=5,7,IF(F416&lt;=7,9,9))))</f>
      </c>
      <c r="L416" s="1">
        <f>IF(D416&gt;0,1/K416,I416)</f>
      </c>
      <c r="M416" s="1">
        <f>IF(D416&gt;0,1/J416,J416)</f>
      </c>
      <c r="N416" s="1">
        <f>IF(D416&gt;0,1/I416,K416)</f>
      </c>
    </row>
    <row r="417">
      <c r="A417">
        <v>28</v>
      </c>
      <c r="B417" t="str">
        <v>CP5</v>
      </c>
      <c r="C417" t="str">
        <v>CP7</v>
      </c>
      <c r="D417">
        <v>0</v>
      </c>
      <c r="E417">
        <v>0</v>
      </c>
      <c r="F417">
        <f>ABS(D417)+1</f>
      </c>
      <c r="G417" t="str">
        <v>= Sama</v>
      </c>
      <c r="H417" t="str">
        <v>EQUAL</v>
      </c>
      <c r="I417">
        <f>IF(F417=1,1,IF(F417&lt;=3,1,IF(F417&lt;=5,3,IF(F417&lt;=7,5,7))))</f>
      </c>
      <c r="J417">
        <f>IF(F417=1,1,IF(F417&lt;=3,3,IF(F417&lt;=5,5,IF(F417&lt;=7,7,9))))</f>
      </c>
      <c r="K417">
        <f>IF(F417=1,1,IF(F417&lt;=3,5,IF(F417&lt;=5,7,IF(F417&lt;=7,9,9))))</f>
      </c>
      <c r="L417" s="1">
        <f>IF(D417&gt;0,1/K417,I417)</f>
      </c>
      <c r="M417" s="1">
        <f>IF(D417&gt;0,1/J417,J417)</f>
      </c>
      <c r="N417" s="1">
        <f>IF(D417&gt;0,1/I417,K417)</f>
      </c>
    </row>
    <row r="418">
      <c r="A418">
        <v>29</v>
      </c>
      <c r="B418" t="str">
        <v>CP5</v>
      </c>
      <c r="C418" t="str">
        <v>CP8</v>
      </c>
      <c r="D418">
        <v>0</v>
      </c>
      <c r="E418">
        <v>0</v>
      </c>
      <c r="F418">
        <f>ABS(D418)+1</f>
      </c>
      <c r="G418" t="str">
        <v>= Sama</v>
      </c>
      <c r="H418" t="str">
        <v>EQUAL</v>
      </c>
      <c r="I418">
        <f>IF(F418=1,1,IF(F418&lt;=3,1,IF(F418&lt;=5,3,IF(F418&lt;=7,5,7))))</f>
      </c>
      <c r="J418">
        <f>IF(F418=1,1,IF(F418&lt;=3,3,IF(F418&lt;=5,5,IF(F418&lt;=7,7,9))))</f>
      </c>
      <c r="K418">
        <f>IF(F418=1,1,IF(F418&lt;=3,5,IF(F418&lt;=5,7,IF(F418&lt;=7,9,9))))</f>
      </c>
      <c r="L418" s="1">
        <f>IF(D418&gt;0,1/K418,I418)</f>
      </c>
      <c r="M418" s="1">
        <f>IF(D418&gt;0,1/J418,J418)</f>
      </c>
      <c r="N418" s="1">
        <f>IF(D418&gt;0,1/I418,K418)</f>
      </c>
    </row>
    <row r="419">
      <c r="A419">
        <v>30</v>
      </c>
      <c r="B419" t="str">
        <v>CP5</v>
      </c>
      <c r="C419" t="str">
        <v>CP9</v>
      </c>
      <c r="D419">
        <v>0</v>
      </c>
      <c r="E419">
        <v>0</v>
      </c>
      <c r="F419">
        <f>ABS(D419)+1</f>
      </c>
      <c r="G419" t="str">
        <v>= Sama</v>
      </c>
      <c r="H419" t="str">
        <v>EQUAL</v>
      </c>
      <c r="I419">
        <f>IF(F419=1,1,IF(F419&lt;=3,1,IF(F419&lt;=5,3,IF(F419&lt;=7,5,7))))</f>
      </c>
      <c r="J419">
        <f>IF(F419=1,1,IF(F419&lt;=3,3,IF(F419&lt;=5,5,IF(F419&lt;=7,7,9))))</f>
      </c>
      <c r="K419">
        <f>IF(F419=1,1,IF(F419&lt;=3,5,IF(F419&lt;=5,7,IF(F419&lt;=7,9,9))))</f>
      </c>
      <c r="L419" s="1">
        <f>IF(D419&gt;0,1/K419,I419)</f>
      </c>
      <c r="M419" s="1">
        <f>IF(D419&gt;0,1/J419,J419)</f>
      </c>
      <c r="N419" s="1">
        <f>IF(D419&gt;0,1/I419,K419)</f>
      </c>
    </row>
    <row r="420">
      <c r="A420">
        <v>31</v>
      </c>
      <c r="B420" t="str">
        <v>CP6</v>
      </c>
      <c r="C420" t="str">
        <v>CP7</v>
      </c>
      <c r="D420">
        <v>0</v>
      </c>
      <c r="E420">
        <v>0</v>
      </c>
      <c r="F420">
        <f>ABS(D420)+1</f>
      </c>
      <c r="G420" t="str">
        <v>= Sama</v>
      </c>
      <c r="H420" t="str">
        <v>EQUAL</v>
      </c>
      <c r="I420">
        <f>IF(F420=1,1,IF(F420&lt;=3,1,IF(F420&lt;=5,3,IF(F420&lt;=7,5,7))))</f>
      </c>
      <c r="J420">
        <f>IF(F420=1,1,IF(F420&lt;=3,3,IF(F420&lt;=5,5,IF(F420&lt;=7,7,9))))</f>
      </c>
      <c r="K420">
        <f>IF(F420=1,1,IF(F420&lt;=3,5,IF(F420&lt;=5,7,IF(F420&lt;=7,9,9))))</f>
      </c>
      <c r="L420" s="1">
        <f>IF(D420&gt;0,1/K420,I420)</f>
      </c>
      <c r="M420" s="1">
        <f>IF(D420&gt;0,1/J420,J420)</f>
      </c>
      <c r="N420" s="1">
        <f>IF(D420&gt;0,1/I420,K420)</f>
      </c>
    </row>
    <row r="421">
      <c r="A421">
        <v>32</v>
      </c>
      <c r="B421" t="str">
        <v>CP6</v>
      </c>
      <c r="C421" t="str">
        <v>CP8</v>
      </c>
      <c r="D421">
        <v>-4</v>
      </c>
      <c r="E421">
        <v>4</v>
      </c>
      <c r="F421">
        <f>ABS(D421)+1</f>
      </c>
      <c r="G421" t="str">
        <v>← CP6</v>
      </c>
      <c r="H421" t="str">
        <v>STRONG</v>
      </c>
      <c r="I421">
        <f>IF(F421=1,1,IF(F421&lt;=3,1,IF(F421&lt;=5,3,IF(F421&lt;=7,5,7))))</f>
      </c>
      <c r="J421">
        <f>IF(F421=1,1,IF(F421&lt;=3,3,IF(F421&lt;=5,5,IF(F421&lt;=7,7,9))))</f>
      </c>
      <c r="K421">
        <f>IF(F421=1,1,IF(F421&lt;=3,5,IF(F421&lt;=5,7,IF(F421&lt;=7,9,9))))</f>
      </c>
      <c r="L421" s="1">
        <f>IF(D421&gt;0,1/K421,I421)</f>
      </c>
      <c r="M421" s="1">
        <f>IF(D421&gt;0,1/J421,J421)</f>
      </c>
      <c r="N421" s="1">
        <f>IF(D421&gt;0,1/I421,K421)</f>
      </c>
    </row>
    <row r="422">
      <c r="A422">
        <v>33</v>
      </c>
      <c r="B422" t="str">
        <v>CP6</v>
      </c>
      <c r="C422" t="str">
        <v>CP9</v>
      </c>
      <c r="D422">
        <v>-4</v>
      </c>
      <c r="E422">
        <v>4</v>
      </c>
      <c r="F422">
        <f>ABS(D422)+1</f>
      </c>
      <c r="G422" t="str">
        <v>← CP6</v>
      </c>
      <c r="H422" t="str">
        <v>STRONG</v>
      </c>
      <c r="I422">
        <f>IF(F422=1,1,IF(F422&lt;=3,1,IF(F422&lt;=5,3,IF(F422&lt;=7,5,7))))</f>
      </c>
      <c r="J422">
        <f>IF(F422=1,1,IF(F422&lt;=3,3,IF(F422&lt;=5,5,IF(F422&lt;=7,7,9))))</f>
      </c>
      <c r="K422">
        <f>IF(F422=1,1,IF(F422&lt;=3,5,IF(F422&lt;=5,7,IF(F422&lt;=7,9,9))))</f>
      </c>
      <c r="L422" s="1">
        <f>IF(D422&gt;0,1/K422,I422)</f>
      </c>
      <c r="M422" s="1">
        <f>IF(D422&gt;0,1/J422,J422)</f>
      </c>
      <c r="N422" s="1">
        <f>IF(D422&gt;0,1/I422,K422)</f>
      </c>
    </row>
    <row r="423">
      <c r="A423">
        <v>34</v>
      </c>
      <c r="B423" t="str">
        <v>CP7</v>
      </c>
      <c r="C423" t="str">
        <v>CP8</v>
      </c>
      <c r="D423">
        <v>-5</v>
      </c>
      <c r="E423">
        <v>5</v>
      </c>
      <c r="F423">
        <f>ABS(D423)+1</f>
      </c>
      <c r="G423" t="str">
        <v>← CP7</v>
      </c>
      <c r="H423" t="str">
        <v>VERY_STRONG</v>
      </c>
      <c r="I423">
        <f>IF(F423=1,1,IF(F423&lt;=3,1,IF(F423&lt;=5,3,IF(F423&lt;=7,5,7))))</f>
      </c>
      <c r="J423">
        <f>IF(F423=1,1,IF(F423&lt;=3,3,IF(F423&lt;=5,5,IF(F423&lt;=7,7,9))))</f>
      </c>
      <c r="K423">
        <f>IF(F423=1,1,IF(F423&lt;=3,5,IF(F423&lt;=5,7,IF(F423&lt;=7,9,9))))</f>
      </c>
      <c r="L423" s="1">
        <f>IF(D423&gt;0,1/K423,I423)</f>
      </c>
      <c r="M423" s="1">
        <f>IF(D423&gt;0,1/J423,J423)</f>
      </c>
      <c r="N423" s="1">
        <f>IF(D423&gt;0,1/I423,K423)</f>
      </c>
    </row>
    <row r="424">
      <c r="A424">
        <v>35</v>
      </c>
      <c r="B424" t="str">
        <v>CP7</v>
      </c>
      <c r="C424" t="str">
        <v>CP9</v>
      </c>
      <c r="D424">
        <v>-4</v>
      </c>
      <c r="E424">
        <v>4</v>
      </c>
      <c r="F424">
        <f>ABS(D424)+1</f>
      </c>
      <c r="G424" t="str">
        <v>← CP7</v>
      </c>
      <c r="H424" t="str">
        <v>STRONG</v>
      </c>
      <c r="I424">
        <f>IF(F424=1,1,IF(F424&lt;=3,1,IF(F424&lt;=5,3,IF(F424&lt;=7,5,7))))</f>
      </c>
      <c r="J424">
        <f>IF(F424=1,1,IF(F424&lt;=3,3,IF(F424&lt;=5,5,IF(F424&lt;=7,7,9))))</f>
      </c>
      <c r="K424">
        <f>IF(F424=1,1,IF(F424&lt;=3,5,IF(F424&lt;=5,7,IF(F424&lt;=7,9,9))))</f>
      </c>
      <c r="L424" s="1">
        <f>IF(D424&gt;0,1/K424,I424)</f>
      </c>
      <c r="M424" s="1">
        <f>IF(D424&gt;0,1/J424,J424)</f>
      </c>
      <c r="N424" s="1">
        <f>IF(D424&gt;0,1/I424,K424)</f>
      </c>
    </row>
    <row r="425">
      <c r="A425">
        <v>36</v>
      </c>
      <c r="B425" t="str">
        <v>CP8</v>
      </c>
      <c r="C425" t="str">
        <v>CP9</v>
      </c>
      <c r="D425">
        <v>5</v>
      </c>
      <c r="E425">
        <v>5</v>
      </c>
      <c r="F425">
        <f>ABS(D425)+1</f>
      </c>
      <c r="G425" t="str">
        <v>→ CP9</v>
      </c>
      <c r="H425" t="str">
        <v>VERY_STRONG</v>
      </c>
      <c r="I425">
        <f>IF(F425=1,1,IF(F425&lt;=3,1,IF(F425&lt;=5,3,IF(F425&lt;=7,5,7))))</f>
      </c>
      <c r="J425">
        <f>IF(F425=1,1,IF(F425&lt;=3,3,IF(F425&lt;=5,5,IF(F425&lt;=7,7,9))))</f>
      </c>
      <c r="K425">
        <f>IF(F425=1,1,IF(F425&lt;=3,5,IF(F425&lt;=5,7,IF(F425&lt;=7,9,9))))</f>
      </c>
      <c r="L425" s="1">
        <f>IF(D425&gt;0,1/K425,I425)</f>
      </c>
      <c r="M425" s="1">
        <f>IF(D425&gt;0,1/J425,J425)</f>
      </c>
      <c r="N425" s="1">
        <f>IF(D425&gt;0,1/I425,K425)</f>
      </c>
    </row>
    <row r="428">
      <c r="A428" t="str">
        <v>═══ RESPONDEN 11: drh. Sri Wening Kurniajati ═══</v>
      </c>
    </row>
    <row r="429">
      <c r="A429" t="str">
        <v>Jabatan: Medik Veteriner Ahli Pertama | Instansi: Dinas Peternakan dan Kesehatan Hewan Provinsi Riau</v>
      </c>
    </row>
    <row r="430">
      <c r="A430" t="str">
        <v>No</v>
      </c>
      <c r="B430" t="str">
        <v>Krit. A</v>
      </c>
      <c r="C430" t="str">
        <v>Krit. B</v>
      </c>
      <c r="D430" t="str">
        <v>Slider</v>
      </c>
      <c r="E430" t="str">
        <v>|Slider|</v>
      </c>
      <c r="F430" t="str">
        <v>absVal</v>
      </c>
      <c r="G430" t="str">
        <v>Arah</v>
      </c>
      <c r="H430" t="str">
        <v>Fuzzy</v>
      </c>
      <c r="I430" t="str">
        <v>l_orig</v>
      </c>
      <c r="J430" t="str">
        <v>m_orig</v>
      </c>
      <c r="K430" t="str">
        <v>u_orig</v>
      </c>
      <c r="L430" t="str">
        <v>TFN_l</v>
      </c>
      <c r="M430" t="str">
        <v>TFN_m</v>
      </c>
      <c r="N430" t="str">
        <v>TFN_u</v>
      </c>
    </row>
    <row r="431">
      <c r="A431">
        <v>1</v>
      </c>
      <c r="B431" t="str">
        <v>CP1</v>
      </c>
      <c r="C431" t="str">
        <v>CP2</v>
      </c>
      <c r="D431">
        <v>5</v>
      </c>
      <c r="E431">
        <v>5</v>
      </c>
      <c r="F431">
        <f>ABS(D431)+1</f>
      </c>
      <c r="G431" t="str">
        <v>→ CP2</v>
      </c>
      <c r="H431" t="str">
        <v>VERY_STRONG</v>
      </c>
      <c r="I431">
        <f>IF(F431=1,1,IF(F431&lt;=3,1,IF(F431&lt;=5,3,IF(F431&lt;=7,5,7))))</f>
      </c>
      <c r="J431">
        <f>IF(F431=1,1,IF(F431&lt;=3,3,IF(F431&lt;=5,5,IF(F431&lt;=7,7,9))))</f>
      </c>
      <c r="K431">
        <f>IF(F431=1,1,IF(F431&lt;=3,5,IF(F431&lt;=5,7,IF(F431&lt;=7,9,9))))</f>
      </c>
      <c r="L431" s="1">
        <f>IF(D431&gt;0,1/K431,I431)</f>
      </c>
      <c r="M431" s="1">
        <f>IF(D431&gt;0,1/J431,J431)</f>
      </c>
      <c r="N431" s="1">
        <f>IF(D431&gt;0,1/I431,K431)</f>
      </c>
    </row>
    <row r="432">
      <c r="A432">
        <v>2</v>
      </c>
      <c r="B432" t="str">
        <v>CP1</v>
      </c>
      <c r="C432" t="str">
        <v>CP3</v>
      </c>
      <c r="D432">
        <v>-4</v>
      </c>
      <c r="E432">
        <v>4</v>
      </c>
      <c r="F432">
        <f>ABS(D432)+1</f>
      </c>
      <c r="G432" t="str">
        <v>← CP1</v>
      </c>
      <c r="H432" t="str">
        <v>STRONG</v>
      </c>
      <c r="I432">
        <f>IF(F432=1,1,IF(F432&lt;=3,1,IF(F432&lt;=5,3,IF(F432&lt;=7,5,7))))</f>
      </c>
      <c r="J432">
        <f>IF(F432=1,1,IF(F432&lt;=3,3,IF(F432&lt;=5,5,IF(F432&lt;=7,7,9))))</f>
      </c>
      <c r="K432">
        <f>IF(F432=1,1,IF(F432&lt;=3,5,IF(F432&lt;=5,7,IF(F432&lt;=7,9,9))))</f>
      </c>
      <c r="L432" s="1">
        <f>IF(D432&gt;0,1/K432,I432)</f>
      </c>
      <c r="M432" s="1">
        <f>IF(D432&gt;0,1/J432,J432)</f>
      </c>
      <c r="N432" s="1">
        <f>IF(D432&gt;0,1/I432,K432)</f>
      </c>
    </row>
    <row r="433">
      <c r="A433">
        <v>3</v>
      </c>
      <c r="B433" t="str">
        <v>CP1</v>
      </c>
      <c r="C433" t="str">
        <v>CP4</v>
      </c>
      <c r="D433">
        <v>5</v>
      </c>
      <c r="E433">
        <v>5</v>
      </c>
      <c r="F433">
        <f>ABS(D433)+1</f>
      </c>
      <c r="G433" t="str">
        <v>→ CP4</v>
      </c>
      <c r="H433" t="str">
        <v>VERY_STRONG</v>
      </c>
      <c r="I433">
        <f>IF(F433=1,1,IF(F433&lt;=3,1,IF(F433&lt;=5,3,IF(F433&lt;=7,5,7))))</f>
      </c>
      <c r="J433">
        <f>IF(F433=1,1,IF(F433&lt;=3,3,IF(F433&lt;=5,5,IF(F433&lt;=7,7,9))))</f>
      </c>
      <c r="K433">
        <f>IF(F433=1,1,IF(F433&lt;=3,5,IF(F433&lt;=5,7,IF(F433&lt;=7,9,9))))</f>
      </c>
      <c r="L433" s="1">
        <f>IF(D433&gt;0,1/K433,I433)</f>
      </c>
      <c r="M433" s="1">
        <f>IF(D433&gt;0,1/J433,J433)</f>
      </c>
      <c r="N433" s="1">
        <f>IF(D433&gt;0,1/I433,K433)</f>
      </c>
    </row>
    <row r="434">
      <c r="A434">
        <v>4</v>
      </c>
      <c r="B434" t="str">
        <v>CP1</v>
      </c>
      <c r="C434" t="str">
        <v>CP5</v>
      </c>
      <c r="D434">
        <v>-2</v>
      </c>
      <c r="E434">
        <v>2</v>
      </c>
      <c r="F434">
        <f>ABS(D434)+1</f>
      </c>
      <c r="G434" t="str">
        <v>← CP1</v>
      </c>
      <c r="H434" t="str">
        <v>MODERATE</v>
      </c>
      <c r="I434">
        <f>IF(F434=1,1,IF(F434&lt;=3,1,IF(F434&lt;=5,3,IF(F434&lt;=7,5,7))))</f>
      </c>
      <c r="J434">
        <f>IF(F434=1,1,IF(F434&lt;=3,3,IF(F434&lt;=5,5,IF(F434&lt;=7,7,9))))</f>
      </c>
      <c r="K434">
        <f>IF(F434=1,1,IF(F434&lt;=3,5,IF(F434&lt;=5,7,IF(F434&lt;=7,9,9))))</f>
      </c>
      <c r="L434" s="1">
        <f>IF(D434&gt;0,1/K434,I434)</f>
      </c>
      <c r="M434" s="1">
        <f>IF(D434&gt;0,1/J434,J434)</f>
      </c>
      <c r="N434" s="1">
        <f>IF(D434&gt;0,1/I434,K434)</f>
      </c>
    </row>
    <row r="435">
      <c r="A435">
        <v>5</v>
      </c>
      <c r="B435" t="str">
        <v>CP1</v>
      </c>
      <c r="C435" t="str">
        <v>CP6</v>
      </c>
      <c r="D435">
        <v>2</v>
      </c>
      <c r="E435">
        <v>2</v>
      </c>
      <c r="F435">
        <f>ABS(D435)+1</f>
      </c>
      <c r="G435" t="str">
        <v>→ CP6</v>
      </c>
      <c r="H435" t="str">
        <v>MODERATE</v>
      </c>
      <c r="I435">
        <f>IF(F435=1,1,IF(F435&lt;=3,1,IF(F435&lt;=5,3,IF(F435&lt;=7,5,7))))</f>
      </c>
      <c r="J435">
        <f>IF(F435=1,1,IF(F435&lt;=3,3,IF(F435&lt;=5,5,IF(F435&lt;=7,7,9))))</f>
      </c>
      <c r="K435">
        <f>IF(F435=1,1,IF(F435&lt;=3,5,IF(F435&lt;=5,7,IF(F435&lt;=7,9,9))))</f>
      </c>
      <c r="L435" s="1">
        <f>IF(D435&gt;0,1/K435,I435)</f>
      </c>
      <c r="M435" s="1">
        <f>IF(D435&gt;0,1/J435,J435)</f>
      </c>
      <c r="N435" s="1">
        <f>IF(D435&gt;0,1/I435,K435)</f>
      </c>
    </row>
    <row r="436">
      <c r="A436">
        <v>6</v>
      </c>
      <c r="B436" t="str">
        <v>CP1</v>
      </c>
      <c r="C436" t="str">
        <v>CP7</v>
      </c>
      <c r="D436">
        <v>5</v>
      </c>
      <c r="E436">
        <v>5</v>
      </c>
      <c r="F436">
        <f>ABS(D436)+1</f>
      </c>
      <c r="G436" t="str">
        <v>→ CP7</v>
      </c>
      <c r="H436" t="str">
        <v>VERY_STRONG</v>
      </c>
      <c r="I436">
        <f>IF(F436=1,1,IF(F436&lt;=3,1,IF(F436&lt;=5,3,IF(F436&lt;=7,5,7))))</f>
      </c>
      <c r="J436">
        <f>IF(F436=1,1,IF(F436&lt;=3,3,IF(F436&lt;=5,5,IF(F436&lt;=7,7,9))))</f>
      </c>
      <c r="K436">
        <f>IF(F436=1,1,IF(F436&lt;=3,5,IF(F436&lt;=5,7,IF(F436&lt;=7,9,9))))</f>
      </c>
      <c r="L436" s="1">
        <f>IF(D436&gt;0,1/K436,I436)</f>
      </c>
      <c r="M436" s="1">
        <f>IF(D436&gt;0,1/J436,J436)</f>
      </c>
      <c r="N436" s="1">
        <f>IF(D436&gt;0,1/I436,K436)</f>
      </c>
    </row>
    <row r="437">
      <c r="A437">
        <v>7</v>
      </c>
      <c r="B437" t="str">
        <v>CP1</v>
      </c>
      <c r="C437" t="str">
        <v>CP8</v>
      </c>
      <c r="D437">
        <v>5</v>
      </c>
      <c r="E437">
        <v>5</v>
      </c>
      <c r="F437">
        <f>ABS(D437)+1</f>
      </c>
      <c r="G437" t="str">
        <v>→ CP8</v>
      </c>
      <c r="H437" t="str">
        <v>VERY_STRONG</v>
      </c>
      <c r="I437">
        <f>IF(F437=1,1,IF(F437&lt;=3,1,IF(F437&lt;=5,3,IF(F437&lt;=7,5,7))))</f>
      </c>
      <c r="J437">
        <f>IF(F437=1,1,IF(F437&lt;=3,3,IF(F437&lt;=5,5,IF(F437&lt;=7,7,9))))</f>
      </c>
      <c r="K437">
        <f>IF(F437=1,1,IF(F437&lt;=3,5,IF(F437&lt;=5,7,IF(F437&lt;=7,9,9))))</f>
      </c>
      <c r="L437" s="1">
        <f>IF(D437&gt;0,1/K437,I437)</f>
      </c>
      <c r="M437" s="1">
        <f>IF(D437&gt;0,1/J437,J437)</f>
      </c>
      <c r="N437" s="1">
        <f>IF(D437&gt;0,1/I437,K437)</f>
      </c>
    </row>
    <row r="438">
      <c r="A438">
        <v>8</v>
      </c>
      <c r="B438" t="str">
        <v>CP1</v>
      </c>
      <c r="C438" t="str">
        <v>CP9</v>
      </c>
      <c r="D438">
        <v>4</v>
      </c>
      <c r="E438">
        <v>4</v>
      </c>
      <c r="F438">
        <f>ABS(D438)+1</f>
      </c>
      <c r="G438" t="str">
        <v>→ CP9</v>
      </c>
      <c r="H438" t="str">
        <v>STRONG</v>
      </c>
      <c r="I438">
        <f>IF(F438=1,1,IF(F438&lt;=3,1,IF(F438&lt;=5,3,IF(F438&lt;=7,5,7))))</f>
      </c>
      <c r="J438">
        <f>IF(F438=1,1,IF(F438&lt;=3,3,IF(F438&lt;=5,5,IF(F438&lt;=7,7,9))))</f>
      </c>
      <c r="K438">
        <f>IF(F438=1,1,IF(F438&lt;=3,5,IF(F438&lt;=5,7,IF(F438&lt;=7,9,9))))</f>
      </c>
      <c r="L438" s="1">
        <f>IF(D438&gt;0,1/K438,I438)</f>
      </c>
      <c r="M438" s="1">
        <f>IF(D438&gt;0,1/J438,J438)</f>
      </c>
      <c r="N438" s="1">
        <f>IF(D438&gt;0,1/I438,K438)</f>
      </c>
    </row>
    <row r="439">
      <c r="A439">
        <v>9</v>
      </c>
      <c r="B439" t="str">
        <v>CP2</v>
      </c>
      <c r="C439" t="str">
        <v>CP3</v>
      </c>
      <c r="D439">
        <v>-4</v>
      </c>
      <c r="E439">
        <v>4</v>
      </c>
      <c r="F439">
        <f>ABS(D439)+1</f>
      </c>
      <c r="G439" t="str">
        <v>← CP2</v>
      </c>
      <c r="H439" t="str">
        <v>STRONG</v>
      </c>
      <c r="I439">
        <f>IF(F439=1,1,IF(F439&lt;=3,1,IF(F439&lt;=5,3,IF(F439&lt;=7,5,7))))</f>
      </c>
      <c r="J439">
        <f>IF(F439=1,1,IF(F439&lt;=3,3,IF(F439&lt;=5,5,IF(F439&lt;=7,7,9))))</f>
      </c>
      <c r="K439">
        <f>IF(F439=1,1,IF(F439&lt;=3,5,IF(F439&lt;=5,7,IF(F439&lt;=7,9,9))))</f>
      </c>
      <c r="L439" s="1">
        <f>IF(D439&gt;0,1/K439,I439)</f>
      </c>
      <c r="M439" s="1">
        <f>IF(D439&gt;0,1/J439,J439)</f>
      </c>
      <c r="N439" s="1">
        <f>IF(D439&gt;0,1/I439,K439)</f>
      </c>
    </row>
    <row r="440">
      <c r="A440">
        <v>10</v>
      </c>
      <c r="B440" t="str">
        <v>CP2</v>
      </c>
      <c r="C440" t="str">
        <v>CP4</v>
      </c>
      <c r="D440">
        <v>-3</v>
      </c>
      <c r="E440">
        <v>3</v>
      </c>
      <c r="F440">
        <f>ABS(D440)+1</f>
      </c>
      <c r="G440" t="str">
        <v>← CP2</v>
      </c>
      <c r="H440" t="str">
        <v>STRONG</v>
      </c>
      <c r="I440">
        <f>IF(F440=1,1,IF(F440&lt;=3,1,IF(F440&lt;=5,3,IF(F440&lt;=7,5,7))))</f>
      </c>
      <c r="J440">
        <f>IF(F440=1,1,IF(F440&lt;=3,3,IF(F440&lt;=5,5,IF(F440&lt;=7,7,9))))</f>
      </c>
      <c r="K440">
        <f>IF(F440=1,1,IF(F440&lt;=3,5,IF(F440&lt;=5,7,IF(F440&lt;=7,9,9))))</f>
      </c>
      <c r="L440" s="1">
        <f>IF(D440&gt;0,1/K440,I440)</f>
      </c>
      <c r="M440" s="1">
        <f>IF(D440&gt;0,1/J440,J440)</f>
      </c>
      <c r="N440" s="1">
        <f>IF(D440&gt;0,1/I440,K440)</f>
      </c>
    </row>
    <row r="441">
      <c r="A441">
        <v>11</v>
      </c>
      <c r="B441" t="str">
        <v>CP2</v>
      </c>
      <c r="C441" t="str">
        <v>CP5</v>
      </c>
      <c r="D441">
        <v>-3</v>
      </c>
      <c r="E441">
        <v>3</v>
      </c>
      <c r="F441">
        <f>ABS(D441)+1</f>
      </c>
      <c r="G441" t="str">
        <v>← CP2</v>
      </c>
      <c r="H441" t="str">
        <v>STRONG</v>
      </c>
      <c r="I441">
        <f>IF(F441=1,1,IF(F441&lt;=3,1,IF(F441&lt;=5,3,IF(F441&lt;=7,5,7))))</f>
      </c>
      <c r="J441">
        <f>IF(F441=1,1,IF(F441&lt;=3,3,IF(F441&lt;=5,5,IF(F441&lt;=7,7,9))))</f>
      </c>
      <c r="K441">
        <f>IF(F441=1,1,IF(F441&lt;=3,5,IF(F441&lt;=5,7,IF(F441&lt;=7,9,9))))</f>
      </c>
      <c r="L441" s="1">
        <f>IF(D441&gt;0,1/K441,I441)</f>
      </c>
      <c r="M441" s="1">
        <f>IF(D441&gt;0,1/J441,J441)</f>
      </c>
      <c r="N441" s="1">
        <f>IF(D441&gt;0,1/I441,K441)</f>
      </c>
    </row>
    <row r="442">
      <c r="A442">
        <v>12</v>
      </c>
      <c r="B442" t="str">
        <v>CP2</v>
      </c>
      <c r="C442" t="str">
        <v>CP6</v>
      </c>
      <c r="D442">
        <v>0</v>
      </c>
      <c r="E442">
        <v>0</v>
      </c>
      <c r="F442">
        <f>ABS(D442)+1</f>
      </c>
      <c r="G442" t="str">
        <v>= Sama</v>
      </c>
      <c r="H442" t="str">
        <v>EQUAL</v>
      </c>
      <c r="I442">
        <f>IF(F442=1,1,IF(F442&lt;=3,1,IF(F442&lt;=5,3,IF(F442&lt;=7,5,7))))</f>
      </c>
      <c r="J442">
        <f>IF(F442=1,1,IF(F442&lt;=3,3,IF(F442&lt;=5,5,IF(F442&lt;=7,7,9))))</f>
      </c>
      <c r="K442">
        <f>IF(F442=1,1,IF(F442&lt;=3,5,IF(F442&lt;=5,7,IF(F442&lt;=7,9,9))))</f>
      </c>
      <c r="L442" s="1">
        <f>IF(D442&gt;0,1/K442,I442)</f>
      </c>
      <c r="M442" s="1">
        <f>IF(D442&gt;0,1/J442,J442)</f>
      </c>
      <c r="N442" s="1">
        <f>IF(D442&gt;0,1/I442,K442)</f>
      </c>
    </row>
    <row r="443">
      <c r="A443">
        <v>13</v>
      </c>
      <c r="B443" t="str">
        <v>CP2</v>
      </c>
      <c r="C443" t="str">
        <v>CP7</v>
      </c>
      <c r="D443">
        <v>3</v>
      </c>
      <c r="E443">
        <v>3</v>
      </c>
      <c r="F443">
        <f>ABS(D443)+1</f>
      </c>
      <c r="G443" t="str">
        <v>→ CP7</v>
      </c>
      <c r="H443" t="str">
        <v>STRONG</v>
      </c>
      <c r="I443">
        <f>IF(F443=1,1,IF(F443&lt;=3,1,IF(F443&lt;=5,3,IF(F443&lt;=7,5,7))))</f>
      </c>
      <c r="J443">
        <f>IF(F443=1,1,IF(F443&lt;=3,3,IF(F443&lt;=5,5,IF(F443&lt;=7,7,9))))</f>
      </c>
      <c r="K443">
        <f>IF(F443=1,1,IF(F443&lt;=3,5,IF(F443&lt;=5,7,IF(F443&lt;=7,9,9))))</f>
      </c>
      <c r="L443" s="1">
        <f>IF(D443&gt;0,1/K443,I443)</f>
      </c>
      <c r="M443" s="1">
        <f>IF(D443&gt;0,1/J443,J443)</f>
      </c>
      <c r="N443" s="1">
        <f>IF(D443&gt;0,1/I443,K443)</f>
      </c>
    </row>
    <row r="444">
      <c r="A444">
        <v>14</v>
      </c>
      <c r="B444" t="str">
        <v>CP2</v>
      </c>
      <c r="C444" t="str">
        <v>CP8</v>
      </c>
      <c r="D444">
        <v>0</v>
      </c>
      <c r="E444">
        <v>0</v>
      </c>
      <c r="F444">
        <f>ABS(D444)+1</f>
      </c>
      <c r="G444" t="str">
        <v>= Sama</v>
      </c>
      <c r="H444" t="str">
        <v>EQUAL</v>
      </c>
      <c r="I444">
        <f>IF(F444=1,1,IF(F444&lt;=3,1,IF(F444&lt;=5,3,IF(F444&lt;=7,5,7))))</f>
      </c>
      <c r="J444">
        <f>IF(F444=1,1,IF(F444&lt;=3,3,IF(F444&lt;=5,5,IF(F444&lt;=7,7,9))))</f>
      </c>
      <c r="K444">
        <f>IF(F444=1,1,IF(F444&lt;=3,5,IF(F444&lt;=5,7,IF(F444&lt;=7,9,9))))</f>
      </c>
      <c r="L444" s="1">
        <f>IF(D444&gt;0,1/K444,I444)</f>
      </c>
      <c r="M444" s="1">
        <f>IF(D444&gt;0,1/J444,J444)</f>
      </c>
      <c r="N444" s="1">
        <f>IF(D444&gt;0,1/I444,K444)</f>
      </c>
    </row>
    <row r="445">
      <c r="A445">
        <v>15</v>
      </c>
      <c r="B445" t="str">
        <v>CP2</v>
      </c>
      <c r="C445" t="str">
        <v>CP9</v>
      </c>
      <c r="D445">
        <v>-2</v>
      </c>
      <c r="E445">
        <v>2</v>
      </c>
      <c r="F445">
        <f>ABS(D445)+1</f>
      </c>
      <c r="G445" t="str">
        <v>← CP2</v>
      </c>
      <c r="H445" t="str">
        <v>MODERATE</v>
      </c>
      <c r="I445">
        <f>IF(F445=1,1,IF(F445&lt;=3,1,IF(F445&lt;=5,3,IF(F445&lt;=7,5,7))))</f>
      </c>
      <c r="J445">
        <f>IF(F445=1,1,IF(F445&lt;=3,3,IF(F445&lt;=5,5,IF(F445&lt;=7,7,9))))</f>
      </c>
      <c r="K445">
        <f>IF(F445=1,1,IF(F445&lt;=3,5,IF(F445&lt;=5,7,IF(F445&lt;=7,9,9))))</f>
      </c>
      <c r="L445" s="1">
        <f>IF(D445&gt;0,1/K445,I445)</f>
      </c>
      <c r="M445" s="1">
        <f>IF(D445&gt;0,1/J445,J445)</f>
      </c>
      <c r="N445" s="1">
        <f>IF(D445&gt;0,1/I445,K445)</f>
      </c>
    </row>
    <row r="446">
      <c r="A446">
        <v>16</v>
      </c>
      <c r="B446" t="str">
        <v>CP3</v>
      </c>
      <c r="C446" t="str">
        <v>CP4</v>
      </c>
      <c r="D446">
        <v>7</v>
      </c>
      <c r="E446">
        <v>7</v>
      </c>
      <c r="F446">
        <f>ABS(D446)+1</f>
      </c>
      <c r="G446" t="str">
        <v>→ CP4</v>
      </c>
      <c r="H446" t="str">
        <v>EXTREME</v>
      </c>
      <c r="I446">
        <f>IF(F446=1,1,IF(F446&lt;=3,1,IF(F446&lt;=5,3,IF(F446&lt;=7,5,7))))</f>
      </c>
      <c r="J446">
        <f>IF(F446=1,1,IF(F446&lt;=3,3,IF(F446&lt;=5,5,IF(F446&lt;=7,7,9))))</f>
      </c>
      <c r="K446">
        <f>IF(F446=1,1,IF(F446&lt;=3,5,IF(F446&lt;=5,7,IF(F446&lt;=7,9,9))))</f>
      </c>
      <c r="L446" s="1">
        <f>IF(D446&gt;0,1/K446,I446)</f>
      </c>
      <c r="M446" s="1">
        <f>IF(D446&gt;0,1/J446,J446)</f>
      </c>
      <c r="N446" s="1">
        <f>IF(D446&gt;0,1/I446,K446)</f>
      </c>
    </row>
    <row r="447">
      <c r="A447">
        <v>17</v>
      </c>
      <c r="B447" t="str">
        <v>CP3</v>
      </c>
      <c r="C447" t="str">
        <v>CP5</v>
      </c>
      <c r="D447">
        <v>4</v>
      </c>
      <c r="E447">
        <v>4</v>
      </c>
      <c r="F447">
        <f>ABS(D447)+1</f>
      </c>
      <c r="G447" t="str">
        <v>→ CP5</v>
      </c>
      <c r="H447" t="str">
        <v>STRONG</v>
      </c>
      <c r="I447">
        <f>IF(F447=1,1,IF(F447&lt;=3,1,IF(F447&lt;=5,3,IF(F447&lt;=7,5,7))))</f>
      </c>
      <c r="J447">
        <f>IF(F447=1,1,IF(F447&lt;=3,3,IF(F447&lt;=5,5,IF(F447&lt;=7,7,9))))</f>
      </c>
      <c r="K447">
        <f>IF(F447=1,1,IF(F447&lt;=3,5,IF(F447&lt;=5,7,IF(F447&lt;=7,9,9))))</f>
      </c>
      <c r="L447" s="1">
        <f>IF(D447&gt;0,1/K447,I447)</f>
      </c>
      <c r="M447" s="1">
        <f>IF(D447&gt;0,1/J447,J447)</f>
      </c>
      <c r="N447" s="1">
        <f>IF(D447&gt;0,1/I447,K447)</f>
      </c>
    </row>
    <row r="448">
      <c r="A448">
        <v>18</v>
      </c>
      <c r="B448" t="str">
        <v>CP3</v>
      </c>
      <c r="C448" t="str">
        <v>CP6</v>
      </c>
      <c r="D448">
        <v>6</v>
      </c>
      <c r="E448">
        <v>6</v>
      </c>
      <c r="F448">
        <f>ABS(D448)+1</f>
      </c>
      <c r="G448" t="str">
        <v>→ CP6</v>
      </c>
      <c r="H448" t="str">
        <v>VERY_STRONG</v>
      </c>
      <c r="I448">
        <f>IF(F448=1,1,IF(F448&lt;=3,1,IF(F448&lt;=5,3,IF(F448&lt;=7,5,7))))</f>
      </c>
      <c r="J448">
        <f>IF(F448=1,1,IF(F448&lt;=3,3,IF(F448&lt;=5,5,IF(F448&lt;=7,7,9))))</f>
      </c>
      <c r="K448">
        <f>IF(F448=1,1,IF(F448&lt;=3,5,IF(F448&lt;=5,7,IF(F448&lt;=7,9,9))))</f>
      </c>
      <c r="L448" s="1">
        <f>IF(D448&gt;0,1/K448,I448)</f>
      </c>
      <c r="M448" s="1">
        <f>IF(D448&gt;0,1/J448,J448)</f>
      </c>
      <c r="N448" s="1">
        <f>IF(D448&gt;0,1/I448,K448)</f>
      </c>
    </row>
    <row r="449">
      <c r="A449">
        <v>19</v>
      </c>
      <c r="B449" t="str">
        <v>CP3</v>
      </c>
      <c r="C449" t="str">
        <v>CP7</v>
      </c>
      <c r="D449">
        <v>7</v>
      </c>
      <c r="E449">
        <v>7</v>
      </c>
      <c r="F449">
        <f>ABS(D449)+1</f>
      </c>
      <c r="G449" t="str">
        <v>→ CP7</v>
      </c>
      <c r="H449" t="str">
        <v>EXTREME</v>
      </c>
      <c r="I449">
        <f>IF(F449=1,1,IF(F449&lt;=3,1,IF(F449&lt;=5,3,IF(F449&lt;=7,5,7))))</f>
      </c>
      <c r="J449">
        <f>IF(F449=1,1,IF(F449&lt;=3,3,IF(F449&lt;=5,5,IF(F449&lt;=7,7,9))))</f>
      </c>
      <c r="K449">
        <f>IF(F449=1,1,IF(F449&lt;=3,5,IF(F449&lt;=5,7,IF(F449&lt;=7,9,9))))</f>
      </c>
      <c r="L449" s="1">
        <f>IF(D449&gt;0,1/K449,I449)</f>
      </c>
      <c r="M449" s="1">
        <f>IF(D449&gt;0,1/J449,J449)</f>
      </c>
      <c r="N449" s="1">
        <f>IF(D449&gt;0,1/I449,K449)</f>
      </c>
    </row>
    <row r="450">
      <c r="A450">
        <v>20</v>
      </c>
      <c r="B450" t="str">
        <v>CP3</v>
      </c>
      <c r="C450" t="str">
        <v>CP8</v>
      </c>
      <c r="D450">
        <v>5</v>
      </c>
      <c r="E450">
        <v>5</v>
      </c>
      <c r="F450">
        <f>ABS(D450)+1</f>
      </c>
      <c r="G450" t="str">
        <v>→ CP8</v>
      </c>
      <c r="H450" t="str">
        <v>VERY_STRONG</v>
      </c>
      <c r="I450">
        <f>IF(F450=1,1,IF(F450&lt;=3,1,IF(F450&lt;=5,3,IF(F450&lt;=7,5,7))))</f>
      </c>
      <c r="J450">
        <f>IF(F450=1,1,IF(F450&lt;=3,3,IF(F450&lt;=5,5,IF(F450&lt;=7,7,9))))</f>
      </c>
      <c r="K450">
        <f>IF(F450=1,1,IF(F450&lt;=3,5,IF(F450&lt;=5,7,IF(F450&lt;=7,9,9))))</f>
      </c>
      <c r="L450" s="1">
        <f>IF(D450&gt;0,1/K450,I450)</f>
      </c>
      <c r="M450" s="1">
        <f>IF(D450&gt;0,1/J450,J450)</f>
      </c>
      <c r="N450" s="1">
        <f>IF(D450&gt;0,1/I450,K450)</f>
      </c>
    </row>
    <row r="451">
      <c r="A451">
        <v>21</v>
      </c>
      <c r="B451" t="str">
        <v>CP3</v>
      </c>
      <c r="C451" t="str">
        <v>CP9</v>
      </c>
      <c r="D451">
        <v>7</v>
      </c>
      <c r="E451">
        <v>7</v>
      </c>
      <c r="F451">
        <f>ABS(D451)+1</f>
      </c>
      <c r="G451" t="str">
        <v>→ CP9</v>
      </c>
      <c r="H451" t="str">
        <v>EXTREME</v>
      </c>
      <c r="I451">
        <f>IF(F451=1,1,IF(F451&lt;=3,1,IF(F451&lt;=5,3,IF(F451&lt;=7,5,7))))</f>
      </c>
      <c r="J451">
        <f>IF(F451=1,1,IF(F451&lt;=3,3,IF(F451&lt;=5,5,IF(F451&lt;=7,7,9))))</f>
      </c>
      <c r="K451">
        <f>IF(F451=1,1,IF(F451&lt;=3,5,IF(F451&lt;=5,7,IF(F451&lt;=7,9,9))))</f>
      </c>
      <c r="L451" s="1">
        <f>IF(D451&gt;0,1/K451,I451)</f>
      </c>
      <c r="M451" s="1">
        <f>IF(D451&gt;0,1/J451,J451)</f>
      </c>
      <c r="N451" s="1">
        <f>IF(D451&gt;0,1/I451,K451)</f>
      </c>
    </row>
    <row r="452">
      <c r="A452">
        <v>22</v>
      </c>
      <c r="B452" t="str">
        <v>CP4</v>
      </c>
      <c r="C452" t="str">
        <v>CP5</v>
      </c>
      <c r="D452">
        <v>-6</v>
      </c>
      <c r="E452">
        <v>6</v>
      </c>
      <c r="F452">
        <f>ABS(D452)+1</f>
      </c>
      <c r="G452" t="str">
        <v>← CP4</v>
      </c>
      <c r="H452" t="str">
        <v>VERY_STRONG</v>
      </c>
      <c r="I452">
        <f>IF(F452=1,1,IF(F452&lt;=3,1,IF(F452&lt;=5,3,IF(F452&lt;=7,5,7))))</f>
      </c>
      <c r="J452">
        <f>IF(F452=1,1,IF(F452&lt;=3,3,IF(F452&lt;=5,5,IF(F452&lt;=7,7,9))))</f>
      </c>
      <c r="K452">
        <f>IF(F452=1,1,IF(F452&lt;=3,5,IF(F452&lt;=5,7,IF(F452&lt;=7,9,9))))</f>
      </c>
      <c r="L452" s="1">
        <f>IF(D452&gt;0,1/K452,I452)</f>
      </c>
      <c r="M452" s="1">
        <f>IF(D452&gt;0,1/J452,J452)</f>
      </c>
      <c r="N452" s="1">
        <f>IF(D452&gt;0,1/I452,K452)</f>
      </c>
    </row>
    <row r="453">
      <c r="A453">
        <v>23</v>
      </c>
      <c r="B453" t="str">
        <v>CP4</v>
      </c>
      <c r="C453" t="str">
        <v>CP6</v>
      </c>
      <c r="D453">
        <v>-3</v>
      </c>
      <c r="E453">
        <v>3</v>
      </c>
      <c r="F453">
        <f>ABS(D453)+1</f>
      </c>
      <c r="G453" t="str">
        <v>← CP4</v>
      </c>
      <c r="H453" t="str">
        <v>STRONG</v>
      </c>
      <c r="I453">
        <f>IF(F453=1,1,IF(F453&lt;=3,1,IF(F453&lt;=5,3,IF(F453&lt;=7,5,7))))</f>
      </c>
      <c r="J453">
        <f>IF(F453=1,1,IF(F453&lt;=3,3,IF(F453&lt;=5,5,IF(F453&lt;=7,7,9))))</f>
      </c>
      <c r="K453">
        <f>IF(F453=1,1,IF(F453&lt;=3,5,IF(F453&lt;=5,7,IF(F453&lt;=7,9,9))))</f>
      </c>
      <c r="L453" s="1">
        <f>IF(D453&gt;0,1/K453,I453)</f>
      </c>
      <c r="M453" s="1">
        <f>IF(D453&gt;0,1/J453,J453)</f>
      </c>
      <c r="N453" s="1">
        <f>IF(D453&gt;0,1/I453,K453)</f>
      </c>
    </row>
    <row r="454">
      <c r="A454">
        <v>24</v>
      </c>
      <c r="B454" t="str">
        <v>CP4</v>
      </c>
      <c r="C454" t="str">
        <v>CP7</v>
      </c>
      <c r="D454">
        <v>0</v>
      </c>
      <c r="E454">
        <v>0</v>
      </c>
      <c r="F454">
        <f>ABS(D454)+1</f>
      </c>
      <c r="G454" t="str">
        <v>= Sama</v>
      </c>
      <c r="H454" t="str">
        <v>EQUAL</v>
      </c>
      <c r="I454">
        <f>IF(F454=1,1,IF(F454&lt;=3,1,IF(F454&lt;=5,3,IF(F454&lt;=7,5,7))))</f>
      </c>
      <c r="J454">
        <f>IF(F454=1,1,IF(F454&lt;=3,3,IF(F454&lt;=5,5,IF(F454&lt;=7,7,9))))</f>
      </c>
      <c r="K454">
        <f>IF(F454=1,1,IF(F454&lt;=3,5,IF(F454&lt;=5,7,IF(F454&lt;=7,9,9))))</f>
      </c>
      <c r="L454" s="1">
        <f>IF(D454&gt;0,1/K454,I454)</f>
      </c>
      <c r="M454" s="1">
        <f>IF(D454&gt;0,1/J454,J454)</f>
      </c>
      <c r="N454" s="1">
        <f>IF(D454&gt;0,1/I454,K454)</f>
      </c>
    </row>
    <row r="455">
      <c r="A455">
        <v>25</v>
      </c>
      <c r="B455" t="str">
        <v>CP4</v>
      </c>
      <c r="C455" t="str">
        <v>CP8</v>
      </c>
      <c r="D455">
        <v>-3</v>
      </c>
      <c r="E455">
        <v>3</v>
      </c>
      <c r="F455">
        <f>ABS(D455)+1</f>
      </c>
      <c r="G455" t="str">
        <v>← CP4</v>
      </c>
      <c r="H455" t="str">
        <v>STRONG</v>
      </c>
      <c r="I455">
        <f>IF(F455=1,1,IF(F455&lt;=3,1,IF(F455&lt;=5,3,IF(F455&lt;=7,5,7))))</f>
      </c>
      <c r="J455">
        <f>IF(F455=1,1,IF(F455&lt;=3,3,IF(F455&lt;=5,5,IF(F455&lt;=7,7,9))))</f>
      </c>
      <c r="K455">
        <f>IF(F455=1,1,IF(F455&lt;=3,5,IF(F455&lt;=5,7,IF(F455&lt;=7,9,9))))</f>
      </c>
      <c r="L455" s="1">
        <f>IF(D455&gt;0,1/K455,I455)</f>
      </c>
      <c r="M455" s="1">
        <f>IF(D455&gt;0,1/J455,J455)</f>
      </c>
      <c r="N455" s="1">
        <f>IF(D455&gt;0,1/I455,K455)</f>
      </c>
    </row>
    <row r="456">
      <c r="A456">
        <v>26</v>
      </c>
      <c r="B456" t="str">
        <v>CP4</v>
      </c>
      <c r="C456" t="str">
        <v>CP9</v>
      </c>
      <c r="D456">
        <v>0</v>
      </c>
      <c r="E456">
        <v>0</v>
      </c>
      <c r="F456">
        <f>ABS(D456)+1</f>
      </c>
      <c r="G456" t="str">
        <v>= Sama</v>
      </c>
      <c r="H456" t="str">
        <v>EQUAL</v>
      </c>
      <c r="I456">
        <f>IF(F456=1,1,IF(F456&lt;=3,1,IF(F456&lt;=5,3,IF(F456&lt;=7,5,7))))</f>
      </c>
      <c r="J456">
        <f>IF(F456=1,1,IF(F456&lt;=3,3,IF(F456&lt;=5,5,IF(F456&lt;=7,7,9))))</f>
      </c>
      <c r="K456">
        <f>IF(F456=1,1,IF(F456&lt;=3,5,IF(F456&lt;=5,7,IF(F456&lt;=7,9,9))))</f>
      </c>
      <c r="L456" s="1">
        <f>IF(D456&gt;0,1/K456,I456)</f>
      </c>
      <c r="M456" s="1">
        <f>IF(D456&gt;0,1/J456,J456)</f>
      </c>
      <c r="N456" s="1">
        <f>IF(D456&gt;0,1/I456,K456)</f>
      </c>
    </row>
    <row r="457">
      <c r="A457">
        <v>27</v>
      </c>
      <c r="B457" t="str">
        <v>CP5</v>
      </c>
      <c r="C457" t="str">
        <v>CP6</v>
      </c>
      <c r="D457">
        <v>4</v>
      </c>
      <c r="E457">
        <v>4</v>
      </c>
      <c r="F457">
        <f>ABS(D457)+1</f>
      </c>
      <c r="G457" t="str">
        <v>→ CP6</v>
      </c>
      <c r="H457" t="str">
        <v>STRONG</v>
      </c>
      <c r="I457">
        <f>IF(F457=1,1,IF(F457&lt;=3,1,IF(F457&lt;=5,3,IF(F457&lt;=7,5,7))))</f>
      </c>
      <c r="J457">
        <f>IF(F457=1,1,IF(F457&lt;=3,3,IF(F457&lt;=5,5,IF(F457&lt;=7,7,9))))</f>
      </c>
      <c r="K457">
        <f>IF(F457=1,1,IF(F457&lt;=3,5,IF(F457&lt;=5,7,IF(F457&lt;=7,9,9))))</f>
      </c>
      <c r="L457" s="1">
        <f>IF(D457&gt;0,1/K457,I457)</f>
      </c>
      <c r="M457" s="1">
        <f>IF(D457&gt;0,1/J457,J457)</f>
      </c>
      <c r="N457" s="1">
        <f>IF(D457&gt;0,1/I457,K457)</f>
      </c>
    </row>
    <row r="458">
      <c r="A458">
        <v>28</v>
      </c>
      <c r="B458" t="str">
        <v>CP5</v>
      </c>
      <c r="C458" t="str">
        <v>CP7</v>
      </c>
      <c r="D458">
        <v>5</v>
      </c>
      <c r="E458">
        <v>5</v>
      </c>
      <c r="F458">
        <f>ABS(D458)+1</f>
      </c>
      <c r="G458" t="str">
        <v>→ CP7</v>
      </c>
      <c r="H458" t="str">
        <v>VERY_STRONG</v>
      </c>
      <c r="I458">
        <f>IF(F458=1,1,IF(F458&lt;=3,1,IF(F458&lt;=5,3,IF(F458&lt;=7,5,7))))</f>
      </c>
      <c r="J458">
        <f>IF(F458=1,1,IF(F458&lt;=3,3,IF(F458&lt;=5,5,IF(F458&lt;=7,7,9))))</f>
      </c>
      <c r="K458">
        <f>IF(F458=1,1,IF(F458&lt;=3,5,IF(F458&lt;=5,7,IF(F458&lt;=7,9,9))))</f>
      </c>
      <c r="L458" s="1">
        <f>IF(D458&gt;0,1/K458,I458)</f>
      </c>
      <c r="M458" s="1">
        <f>IF(D458&gt;0,1/J458,J458)</f>
      </c>
      <c r="N458" s="1">
        <f>IF(D458&gt;0,1/I458,K458)</f>
      </c>
    </row>
    <row r="459">
      <c r="A459">
        <v>29</v>
      </c>
      <c r="B459" t="str">
        <v>CP5</v>
      </c>
      <c r="C459" t="str">
        <v>CP8</v>
      </c>
      <c r="D459">
        <v>0</v>
      </c>
      <c r="E459">
        <v>0</v>
      </c>
      <c r="F459">
        <f>ABS(D459)+1</f>
      </c>
      <c r="G459" t="str">
        <v>= Sama</v>
      </c>
      <c r="H459" t="str">
        <v>EQUAL</v>
      </c>
      <c r="I459">
        <f>IF(F459=1,1,IF(F459&lt;=3,1,IF(F459&lt;=5,3,IF(F459&lt;=7,5,7))))</f>
      </c>
      <c r="J459">
        <f>IF(F459=1,1,IF(F459&lt;=3,3,IF(F459&lt;=5,5,IF(F459&lt;=7,7,9))))</f>
      </c>
      <c r="K459">
        <f>IF(F459=1,1,IF(F459&lt;=3,5,IF(F459&lt;=5,7,IF(F459&lt;=7,9,9))))</f>
      </c>
      <c r="L459" s="1">
        <f>IF(D459&gt;0,1/K459,I459)</f>
      </c>
      <c r="M459" s="1">
        <f>IF(D459&gt;0,1/J459,J459)</f>
      </c>
      <c r="N459" s="1">
        <f>IF(D459&gt;0,1/I459,K459)</f>
      </c>
    </row>
    <row r="460">
      <c r="A460">
        <v>30</v>
      </c>
      <c r="B460" t="str">
        <v>CP5</v>
      </c>
      <c r="C460" t="str">
        <v>CP9</v>
      </c>
      <c r="D460">
        <v>2</v>
      </c>
      <c r="E460">
        <v>2</v>
      </c>
      <c r="F460">
        <f>ABS(D460)+1</f>
      </c>
      <c r="G460" t="str">
        <v>→ CP9</v>
      </c>
      <c r="H460" t="str">
        <v>MODERATE</v>
      </c>
      <c r="I460">
        <f>IF(F460=1,1,IF(F460&lt;=3,1,IF(F460&lt;=5,3,IF(F460&lt;=7,5,7))))</f>
      </c>
      <c r="J460">
        <f>IF(F460=1,1,IF(F460&lt;=3,3,IF(F460&lt;=5,5,IF(F460&lt;=7,7,9))))</f>
      </c>
      <c r="K460">
        <f>IF(F460=1,1,IF(F460&lt;=3,5,IF(F460&lt;=5,7,IF(F460&lt;=7,9,9))))</f>
      </c>
      <c r="L460" s="1">
        <f>IF(D460&gt;0,1/K460,I460)</f>
      </c>
      <c r="M460" s="1">
        <f>IF(D460&gt;0,1/J460,J460)</f>
      </c>
      <c r="N460" s="1">
        <f>IF(D460&gt;0,1/I460,K460)</f>
      </c>
    </row>
    <row r="461">
      <c r="A461">
        <v>31</v>
      </c>
      <c r="B461" t="str">
        <v>CP6</v>
      </c>
      <c r="C461" t="str">
        <v>CP7</v>
      </c>
      <c r="D461">
        <v>0</v>
      </c>
      <c r="E461">
        <v>0</v>
      </c>
      <c r="F461">
        <f>ABS(D461)+1</f>
      </c>
      <c r="G461" t="str">
        <v>= Sama</v>
      </c>
      <c r="H461" t="str">
        <v>EQUAL</v>
      </c>
      <c r="I461">
        <f>IF(F461=1,1,IF(F461&lt;=3,1,IF(F461&lt;=5,3,IF(F461&lt;=7,5,7))))</f>
      </c>
      <c r="J461">
        <f>IF(F461=1,1,IF(F461&lt;=3,3,IF(F461&lt;=5,5,IF(F461&lt;=7,7,9))))</f>
      </c>
      <c r="K461">
        <f>IF(F461=1,1,IF(F461&lt;=3,5,IF(F461&lt;=5,7,IF(F461&lt;=7,9,9))))</f>
      </c>
      <c r="L461" s="1">
        <f>IF(D461&gt;0,1/K461,I461)</f>
      </c>
      <c r="M461" s="1">
        <f>IF(D461&gt;0,1/J461,J461)</f>
      </c>
      <c r="N461" s="1">
        <f>IF(D461&gt;0,1/I461,K461)</f>
      </c>
    </row>
    <row r="462">
      <c r="A462">
        <v>32</v>
      </c>
      <c r="B462" t="str">
        <v>CP6</v>
      </c>
      <c r="C462" t="str">
        <v>CP8</v>
      </c>
      <c r="D462">
        <v>-2</v>
      </c>
      <c r="E462">
        <v>2</v>
      </c>
      <c r="F462">
        <f>ABS(D462)+1</f>
      </c>
      <c r="G462" t="str">
        <v>← CP6</v>
      </c>
      <c r="H462" t="str">
        <v>MODERATE</v>
      </c>
      <c r="I462">
        <f>IF(F462=1,1,IF(F462&lt;=3,1,IF(F462&lt;=5,3,IF(F462&lt;=7,5,7))))</f>
      </c>
      <c r="J462">
        <f>IF(F462=1,1,IF(F462&lt;=3,3,IF(F462&lt;=5,5,IF(F462&lt;=7,7,9))))</f>
      </c>
      <c r="K462">
        <f>IF(F462=1,1,IF(F462&lt;=3,5,IF(F462&lt;=5,7,IF(F462&lt;=7,9,9))))</f>
      </c>
      <c r="L462" s="1">
        <f>IF(D462&gt;0,1/K462,I462)</f>
      </c>
      <c r="M462" s="1">
        <f>IF(D462&gt;0,1/J462,J462)</f>
      </c>
      <c r="N462" s="1">
        <f>IF(D462&gt;0,1/I462,K462)</f>
      </c>
    </row>
    <row r="463">
      <c r="A463">
        <v>33</v>
      </c>
      <c r="B463" t="str">
        <v>CP6</v>
      </c>
      <c r="C463" t="str">
        <v>CP9</v>
      </c>
      <c r="D463">
        <v>0</v>
      </c>
      <c r="E463">
        <v>0</v>
      </c>
      <c r="F463">
        <f>ABS(D463)+1</f>
      </c>
      <c r="G463" t="str">
        <v>= Sama</v>
      </c>
      <c r="H463" t="str">
        <v>EQUAL</v>
      </c>
      <c r="I463">
        <f>IF(F463=1,1,IF(F463&lt;=3,1,IF(F463&lt;=5,3,IF(F463&lt;=7,5,7))))</f>
      </c>
      <c r="J463">
        <f>IF(F463=1,1,IF(F463&lt;=3,3,IF(F463&lt;=5,5,IF(F463&lt;=7,7,9))))</f>
      </c>
      <c r="K463">
        <f>IF(F463=1,1,IF(F463&lt;=3,5,IF(F463&lt;=5,7,IF(F463&lt;=7,9,9))))</f>
      </c>
      <c r="L463" s="1">
        <f>IF(D463&gt;0,1/K463,I463)</f>
      </c>
      <c r="M463" s="1">
        <f>IF(D463&gt;0,1/J463,J463)</f>
      </c>
      <c r="N463" s="1">
        <f>IF(D463&gt;0,1/I463,K463)</f>
      </c>
    </row>
    <row r="464">
      <c r="A464">
        <v>34</v>
      </c>
      <c r="B464" t="str">
        <v>CP7</v>
      </c>
      <c r="C464" t="str">
        <v>CP8</v>
      </c>
      <c r="D464">
        <v>-1</v>
      </c>
      <c r="E464">
        <v>1</v>
      </c>
      <c r="F464">
        <f>ABS(D464)+1</f>
      </c>
      <c r="G464" t="str">
        <v>← CP7</v>
      </c>
      <c r="H464" t="str">
        <v>MODERATE</v>
      </c>
      <c r="I464">
        <f>IF(F464=1,1,IF(F464&lt;=3,1,IF(F464&lt;=5,3,IF(F464&lt;=7,5,7))))</f>
      </c>
      <c r="J464">
        <f>IF(F464=1,1,IF(F464&lt;=3,3,IF(F464&lt;=5,5,IF(F464&lt;=7,7,9))))</f>
      </c>
      <c r="K464">
        <f>IF(F464=1,1,IF(F464&lt;=3,5,IF(F464&lt;=5,7,IF(F464&lt;=7,9,9))))</f>
      </c>
      <c r="L464" s="1">
        <f>IF(D464&gt;0,1/K464,I464)</f>
      </c>
      <c r="M464" s="1">
        <f>IF(D464&gt;0,1/J464,J464)</f>
      </c>
      <c r="N464" s="1">
        <f>IF(D464&gt;0,1/I464,K464)</f>
      </c>
    </row>
    <row r="465">
      <c r="A465">
        <v>35</v>
      </c>
      <c r="B465" t="str">
        <v>CP7</v>
      </c>
      <c r="C465" t="str">
        <v>CP9</v>
      </c>
      <c r="D465">
        <v>0</v>
      </c>
      <c r="E465">
        <v>0</v>
      </c>
      <c r="F465">
        <f>ABS(D465)+1</f>
      </c>
      <c r="G465" t="str">
        <v>= Sama</v>
      </c>
      <c r="H465" t="str">
        <v>EQUAL</v>
      </c>
      <c r="I465">
        <f>IF(F465=1,1,IF(F465&lt;=3,1,IF(F465&lt;=5,3,IF(F465&lt;=7,5,7))))</f>
      </c>
      <c r="J465">
        <f>IF(F465=1,1,IF(F465&lt;=3,3,IF(F465&lt;=5,5,IF(F465&lt;=7,7,9))))</f>
      </c>
      <c r="K465">
        <f>IF(F465=1,1,IF(F465&lt;=3,5,IF(F465&lt;=5,7,IF(F465&lt;=7,9,9))))</f>
      </c>
      <c r="L465" s="1">
        <f>IF(D465&gt;0,1/K465,I465)</f>
      </c>
      <c r="M465" s="1">
        <f>IF(D465&gt;0,1/J465,J465)</f>
      </c>
      <c r="N465" s="1">
        <f>IF(D465&gt;0,1/I465,K465)</f>
      </c>
    </row>
    <row r="466">
      <c r="A466">
        <v>36</v>
      </c>
      <c r="B466" t="str">
        <v>CP8</v>
      </c>
      <c r="C466" t="str">
        <v>CP9</v>
      </c>
      <c r="D466">
        <v>0</v>
      </c>
      <c r="E466">
        <v>0</v>
      </c>
      <c r="F466">
        <f>ABS(D466)+1</f>
      </c>
      <c r="G466" t="str">
        <v>= Sama</v>
      </c>
      <c r="H466" t="str">
        <v>EQUAL</v>
      </c>
      <c r="I466">
        <f>IF(F466=1,1,IF(F466&lt;=3,1,IF(F466&lt;=5,3,IF(F466&lt;=7,5,7))))</f>
      </c>
      <c r="J466">
        <f>IF(F466=1,1,IF(F466&lt;=3,3,IF(F466&lt;=5,5,IF(F466&lt;=7,7,9))))</f>
      </c>
      <c r="K466">
        <f>IF(F466=1,1,IF(F466&lt;=3,5,IF(F466&lt;=5,7,IF(F466&lt;=7,9,9))))</f>
      </c>
      <c r="L466" s="1">
        <f>IF(D466&gt;0,1/K466,I466)</f>
      </c>
      <c r="M466" s="1">
        <f>IF(D466&gt;0,1/J466,J466)</f>
      </c>
      <c r="N466" s="1">
        <f>IF(D466&gt;0,1/I466,K466)</f>
      </c>
    </row>
    <row r="469">
      <c r="A469" t="str">
        <v>═══ RESPONDEN 12: Dea Astrina Harefa ═══</v>
      </c>
    </row>
    <row r="470">
      <c r="A470" t="str">
        <v>Jabatan: Paramedik Veteriner | Instansi: Dinas Peternakan dan Kesehatan Hewan Prov Riau</v>
      </c>
    </row>
    <row r="471">
      <c r="A471" t="str">
        <v>No</v>
      </c>
      <c r="B471" t="str">
        <v>Krit. A</v>
      </c>
      <c r="C471" t="str">
        <v>Krit. B</v>
      </c>
      <c r="D471" t="str">
        <v>Slider</v>
      </c>
      <c r="E471" t="str">
        <v>|Slider|</v>
      </c>
      <c r="F471" t="str">
        <v>absVal</v>
      </c>
      <c r="G471" t="str">
        <v>Arah</v>
      </c>
      <c r="H471" t="str">
        <v>Fuzzy</v>
      </c>
      <c r="I471" t="str">
        <v>l_orig</v>
      </c>
      <c r="J471" t="str">
        <v>m_orig</v>
      </c>
      <c r="K471" t="str">
        <v>u_orig</v>
      </c>
      <c r="L471" t="str">
        <v>TFN_l</v>
      </c>
      <c r="M471" t="str">
        <v>TFN_m</v>
      </c>
      <c r="N471" t="str">
        <v>TFN_u</v>
      </c>
    </row>
    <row r="472">
      <c r="A472">
        <v>1</v>
      </c>
      <c r="B472" t="str">
        <v>CP1</v>
      </c>
      <c r="C472" t="str">
        <v>CP2</v>
      </c>
      <c r="D472">
        <v>6</v>
      </c>
      <c r="E472">
        <v>6</v>
      </c>
      <c r="F472">
        <f>ABS(D472)+1</f>
      </c>
      <c r="G472" t="str">
        <v>→ CP2</v>
      </c>
      <c r="H472" t="str">
        <v>VERY_STRONG</v>
      </c>
      <c r="I472">
        <f>IF(F472=1,1,IF(F472&lt;=3,1,IF(F472&lt;=5,3,IF(F472&lt;=7,5,7))))</f>
      </c>
      <c r="J472">
        <f>IF(F472=1,1,IF(F472&lt;=3,3,IF(F472&lt;=5,5,IF(F472&lt;=7,7,9))))</f>
      </c>
      <c r="K472">
        <f>IF(F472=1,1,IF(F472&lt;=3,5,IF(F472&lt;=5,7,IF(F472&lt;=7,9,9))))</f>
      </c>
      <c r="L472" s="1">
        <f>IF(D472&gt;0,1/K472,I472)</f>
      </c>
      <c r="M472" s="1">
        <f>IF(D472&gt;0,1/J472,J472)</f>
      </c>
      <c r="N472" s="1">
        <f>IF(D472&gt;0,1/I472,K472)</f>
      </c>
    </row>
    <row r="473">
      <c r="A473">
        <v>2</v>
      </c>
      <c r="B473" t="str">
        <v>CP1</v>
      </c>
      <c r="C473" t="str">
        <v>CP3</v>
      </c>
      <c r="D473">
        <v>-6</v>
      </c>
      <c r="E473">
        <v>6</v>
      </c>
      <c r="F473">
        <f>ABS(D473)+1</f>
      </c>
      <c r="G473" t="str">
        <v>← CP1</v>
      </c>
      <c r="H473" t="str">
        <v>VERY_STRONG</v>
      </c>
      <c r="I473">
        <f>IF(F473=1,1,IF(F473&lt;=3,1,IF(F473&lt;=5,3,IF(F473&lt;=7,5,7))))</f>
      </c>
      <c r="J473">
        <f>IF(F473=1,1,IF(F473&lt;=3,3,IF(F473&lt;=5,5,IF(F473&lt;=7,7,9))))</f>
      </c>
      <c r="K473">
        <f>IF(F473=1,1,IF(F473&lt;=3,5,IF(F473&lt;=5,7,IF(F473&lt;=7,9,9))))</f>
      </c>
      <c r="L473" s="1">
        <f>IF(D473&gt;0,1/K473,I473)</f>
      </c>
      <c r="M473" s="1">
        <f>IF(D473&gt;0,1/J473,J473)</f>
      </c>
      <c r="N473" s="1">
        <f>IF(D473&gt;0,1/I473,K473)</f>
      </c>
    </row>
    <row r="474">
      <c r="A474">
        <v>3</v>
      </c>
      <c r="B474" t="str">
        <v>CP1</v>
      </c>
      <c r="C474" t="str">
        <v>CP4</v>
      </c>
      <c r="D474">
        <v>6</v>
      </c>
      <c r="E474">
        <v>6</v>
      </c>
      <c r="F474">
        <f>ABS(D474)+1</f>
      </c>
      <c r="G474" t="str">
        <v>→ CP4</v>
      </c>
      <c r="H474" t="str">
        <v>VERY_STRONG</v>
      </c>
      <c r="I474">
        <f>IF(F474=1,1,IF(F474&lt;=3,1,IF(F474&lt;=5,3,IF(F474&lt;=7,5,7))))</f>
      </c>
      <c r="J474">
        <f>IF(F474=1,1,IF(F474&lt;=3,3,IF(F474&lt;=5,5,IF(F474&lt;=7,7,9))))</f>
      </c>
      <c r="K474">
        <f>IF(F474=1,1,IF(F474&lt;=3,5,IF(F474&lt;=5,7,IF(F474&lt;=7,9,9))))</f>
      </c>
      <c r="L474" s="1">
        <f>IF(D474&gt;0,1/K474,I474)</f>
      </c>
      <c r="M474" s="1">
        <f>IF(D474&gt;0,1/J474,J474)</f>
      </c>
      <c r="N474" s="1">
        <f>IF(D474&gt;0,1/I474,K474)</f>
      </c>
    </row>
    <row r="475">
      <c r="A475">
        <v>4</v>
      </c>
      <c r="B475" t="str">
        <v>CP1</v>
      </c>
      <c r="C475" t="str">
        <v>CP5</v>
      </c>
      <c r="D475">
        <v>-7</v>
      </c>
      <c r="E475">
        <v>7</v>
      </c>
      <c r="F475">
        <f>ABS(D475)+1</f>
      </c>
      <c r="G475" t="str">
        <v>← CP1</v>
      </c>
      <c r="H475" t="str">
        <v>EXTREME</v>
      </c>
      <c r="I475">
        <f>IF(F475=1,1,IF(F475&lt;=3,1,IF(F475&lt;=5,3,IF(F475&lt;=7,5,7))))</f>
      </c>
      <c r="J475">
        <f>IF(F475=1,1,IF(F475&lt;=3,3,IF(F475&lt;=5,5,IF(F475&lt;=7,7,9))))</f>
      </c>
      <c r="K475">
        <f>IF(F475=1,1,IF(F475&lt;=3,5,IF(F475&lt;=5,7,IF(F475&lt;=7,9,9))))</f>
      </c>
      <c r="L475" s="1">
        <f>IF(D475&gt;0,1/K475,I475)</f>
      </c>
      <c r="M475" s="1">
        <f>IF(D475&gt;0,1/J475,J475)</f>
      </c>
      <c r="N475" s="1">
        <f>IF(D475&gt;0,1/I475,K475)</f>
      </c>
    </row>
    <row r="476">
      <c r="A476">
        <v>5</v>
      </c>
      <c r="B476" t="str">
        <v>CP1</v>
      </c>
      <c r="C476" t="str">
        <v>CP6</v>
      </c>
      <c r="D476">
        <v>7</v>
      </c>
      <c r="E476">
        <v>7</v>
      </c>
      <c r="F476">
        <f>ABS(D476)+1</f>
      </c>
      <c r="G476" t="str">
        <v>→ CP6</v>
      </c>
      <c r="H476" t="str">
        <v>EXTREME</v>
      </c>
      <c r="I476">
        <f>IF(F476=1,1,IF(F476&lt;=3,1,IF(F476&lt;=5,3,IF(F476&lt;=7,5,7))))</f>
      </c>
      <c r="J476">
        <f>IF(F476=1,1,IF(F476&lt;=3,3,IF(F476&lt;=5,5,IF(F476&lt;=7,7,9))))</f>
      </c>
      <c r="K476">
        <f>IF(F476=1,1,IF(F476&lt;=3,5,IF(F476&lt;=5,7,IF(F476&lt;=7,9,9))))</f>
      </c>
      <c r="L476" s="1">
        <f>IF(D476&gt;0,1/K476,I476)</f>
      </c>
      <c r="M476" s="1">
        <f>IF(D476&gt;0,1/J476,J476)</f>
      </c>
      <c r="N476" s="1">
        <f>IF(D476&gt;0,1/I476,K476)</f>
      </c>
    </row>
    <row r="477">
      <c r="A477">
        <v>6</v>
      </c>
      <c r="B477" t="str">
        <v>CP1</v>
      </c>
      <c r="C477" t="str">
        <v>CP7</v>
      </c>
      <c r="D477">
        <v>0</v>
      </c>
      <c r="E477">
        <v>0</v>
      </c>
      <c r="F477">
        <f>ABS(D477)+1</f>
      </c>
      <c r="G477" t="str">
        <v>= Sama</v>
      </c>
      <c r="H477" t="str">
        <v>EQUAL</v>
      </c>
      <c r="I477">
        <f>IF(F477=1,1,IF(F477&lt;=3,1,IF(F477&lt;=5,3,IF(F477&lt;=7,5,7))))</f>
      </c>
      <c r="J477">
        <f>IF(F477=1,1,IF(F477&lt;=3,3,IF(F477&lt;=5,5,IF(F477&lt;=7,7,9))))</f>
      </c>
      <c r="K477">
        <f>IF(F477=1,1,IF(F477&lt;=3,5,IF(F477&lt;=5,7,IF(F477&lt;=7,9,9))))</f>
      </c>
      <c r="L477" s="1">
        <f>IF(D477&gt;0,1/K477,I477)</f>
      </c>
      <c r="M477" s="1">
        <f>IF(D477&gt;0,1/J477,J477)</f>
      </c>
      <c r="N477" s="1">
        <f>IF(D477&gt;0,1/I477,K477)</f>
      </c>
    </row>
    <row r="478">
      <c r="A478">
        <v>7</v>
      </c>
      <c r="B478" t="str">
        <v>CP1</v>
      </c>
      <c r="C478" t="str">
        <v>CP8</v>
      </c>
      <c r="D478">
        <v>-6</v>
      </c>
      <c r="E478">
        <v>6</v>
      </c>
      <c r="F478">
        <f>ABS(D478)+1</f>
      </c>
      <c r="G478" t="str">
        <v>← CP1</v>
      </c>
      <c r="H478" t="str">
        <v>VERY_STRONG</v>
      </c>
      <c r="I478">
        <f>IF(F478=1,1,IF(F478&lt;=3,1,IF(F478&lt;=5,3,IF(F478&lt;=7,5,7))))</f>
      </c>
      <c r="J478">
        <f>IF(F478=1,1,IF(F478&lt;=3,3,IF(F478&lt;=5,5,IF(F478&lt;=7,7,9))))</f>
      </c>
      <c r="K478">
        <f>IF(F478=1,1,IF(F478&lt;=3,5,IF(F478&lt;=5,7,IF(F478&lt;=7,9,9))))</f>
      </c>
      <c r="L478" s="1">
        <f>IF(D478&gt;0,1/K478,I478)</f>
      </c>
      <c r="M478" s="1">
        <f>IF(D478&gt;0,1/J478,J478)</f>
      </c>
      <c r="N478" s="1">
        <f>IF(D478&gt;0,1/I478,K478)</f>
      </c>
    </row>
    <row r="479">
      <c r="A479">
        <v>8</v>
      </c>
      <c r="B479" t="str">
        <v>CP1</v>
      </c>
      <c r="C479" t="str">
        <v>CP9</v>
      </c>
      <c r="D479">
        <v>7</v>
      </c>
      <c r="E479">
        <v>7</v>
      </c>
      <c r="F479">
        <f>ABS(D479)+1</f>
      </c>
      <c r="G479" t="str">
        <v>→ CP9</v>
      </c>
      <c r="H479" t="str">
        <v>EXTREME</v>
      </c>
      <c r="I479">
        <f>IF(F479=1,1,IF(F479&lt;=3,1,IF(F479&lt;=5,3,IF(F479&lt;=7,5,7))))</f>
      </c>
      <c r="J479">
        <f>IF(F479=1,1,IF(F479&lt;=3,3,IF(F479&lt;=5,5,IF(F479&lt;=7,7,9))))</f>
      </c>
      <c r="K479">
        <f>IF(F479=1,1,IF(F479&lt;=3,5,IF(F479&lt;=5,7,IF(F479&lt;=7,9,9))))</f>
      </c>
      <c r="L479" s="1">
        <f>IF(D479&gt;0,1/K479,I479)</f>
      </c>
      <c r="M479" s="1">
        <f>IF(D479&gt;0,1/J479,J479)</f>
      </c>
      <c r="N479" s="1">
        <f>IF(D479&gt;0,1/I479,K479)</f>
      </c>
    </row>
    <row r="480">
      <c r="A480">
        <v>9</v>
      </c>
      <c r="B480" t="str">
        <v>CP2</v>
      </c>
      <c r="C480" t="str">
        <v>CP3</v>
      </c>
      <c r="D480">
        <v>-7</v>
      </c>
      <c r="E480">
        <v>7</v>
      </c>
      <c r="F480">
        <f>ABS(D480)+1</f>
      </c>
      <c r="G480" t="str">
        <v>← CP2</v>
      </c>
      <c r="H480" t="str">
        <v>EXTREME</v>
      </c>
      <c r="I480">
        <f>IF(F480=1,1,IF(F480&lt;=3,1,IF(F480&lt;=5,3,IF(F480&lt;=7,5,7))))</f>
      </c>
      <c r="J480">
        <f>IF(F480=1,1,IF(F480&lt;=3,3,IF(F480&lt;=5,5,IF(F480&lt;=7,7,9))))</f>
      </c>
      <c r="K480">
        <f>IF(F480=1,1,IF(F480&lt;=3,5,IF(F480&lt;=5,7,IF(F480&lt;=7,9,9))))</f>
      </c>
      <c r="L480" s="1">
        <f>IF(D480&gt;0,1/K480,I480)</f>
      </c>
      <c r="M480" s="1">
        <f>IF(D480&gt;0,1/J480,J480)</f>
      </c>
      <c r="N480" s="1">
        <f>IF(D480&gt;0,1/I480,K480)</f>
      </c>
    </row>
    <row r="481">
      <c r="A481">
        <v>10</v>
      </c>
      <c r="B481" t="str">
        <v>CP2</v>
      </c>
      <c r="C481" t="str">
        <v>CP4</v>
      </c>
      <c r="D481">
        <v>-5</v>
      </c>
      <c r="E481">
        <v>5</v>
      </c>
      <c r="F481">
        <f>ABS(D481)+1</f>
      </c>
      <c r="G481" t="str">
        <v>← CP2</v>
      </c>
      <c r="H481" t="str">
        <v>VERY_STRONG</v>
      </c>
      <c r="I481">
        <f>IF(F481=1,1,IF(F481&lt;=3,1,IF(F481&lt;=5,3,IF(F481&lt;=7,5,7))))</f>
      </c>
      <c r="J481">
        <f>IF(F481=1,1,IF(F481&lt;=3,3,IF(F481&lt;=5,5,IF(F481&lt;=7,7,9))))</f>
      </c>
      <c r="K481">
        <f>IF(F481=1,1,IF(F481&lt;=3,5,IF(F481&lt;=5,7,IF(F481&lt;=7,9,9))))</f>
      </c>
      <c r="L481" s="1">
        <f>IF(D481&gt;0,1/K481,I481)</f>
      </c>
      <c r="M481" s="1">
        <f>IF(D481&gt;0,1/J481,J481)</f>
      </c>
      <c r="N481" s="1">
        <f>IF(D481&gt;0,1/I481,K481)</f>
      </c>
    </row>
    <row r="482">
      <c r="A482">
        <v>11</v>
      </c>
      <c r="B482" t="str">
        <v>CP2</v>
      </c>
      <c r="C482" t="str">
        <v>CP5</v>
      </c>
      <c r="D482">
        <v>-6</v>
      </c>
      <c r="E482">
        <v>6</v>
      </c>
      <c r="F482">
        <f>ABS(D482)+1</f>
      </c>
      <c r="G482" t="str">
        <v>← CP2</v>
      </c>
      <c r="H482" t="str">
        <v>VERY_STRONG</v>
      </c>
      <c r="I482">
        <f>IF(F482=1,1,IF(F482&lt;=3,1,IF(F482&lt;=5,3,IF(F482&lt;=7,5,7))))</f>
      </c>
      <c r="J482">
        <f>IF(F482=1,1,IF(F482&lt;=3,3,IF(F482&lt;=5,5,IF(F482&lt;=7,7,9))))</f>
      </c>
      <c r="K482">
        <f>IF(F482=1,1,IF(F482&lt;=3,5,IF(F482&lt;=5,7,IF(F482&lt;=7,9,9))))</f>
      </c>
      <c r="L482" s="1">
        <f>IF(D482&gt;0,1/K482,I482)</f>
      </c>
      <c r="M482" s="1">
        <f>IF(D482&gt;0,1/J482,J482)</f>
      </c>
      <c r="N482" s="1">
        <f>IF(D482&gt;0,1/I482,K482)</f>
      </c>
    </row>
    <row r="483">
      <c r="A483">
        <v>12</v>
      </c>
      <c r="B483" t="str">
        <v>CP2</v>
      </c>
      <c r="C483" t="str">
        <v>CP6</v>
      </c>
      <c r="D483">
        <v>-6</v>
      </c>
      <c r="E483">
        <v>6</v>
      </c>
      <c r="F483">
        <f>ABS(D483)+1</f>
      </c>
      <c r="G483" t="str">
        <v>← CP2</v>
      </c>
      <c r="H483" t="str">
        <v>VERY_STRONG</v>
      </c>
      <c r="I483">
        <f>IF(F483=1,1,IF(F483&lt;=3,1,IF(F483&lt;=5,3,IF(F483&lt;=7,5,7))))</f>
      </c>
      <c r="J483">
        <f>IF(F483=1,1,IF(F483&lt;=3,3,IF(F483&lt;=5,5,IF(F483&lt;=7,7,9))))</f>
      </c>
      <c r="K483">
        <f>IF(F483=1,1,IF(F483&lt;=3,5,IF(F483&lt;=5,7,IF(F483&lt;=7,9,9))))</f>
      </c>
      <c r="L483" s="1">
        <f>IF(D483&gt;0,1/K483,I483)</f>
      </c>
      <c r="M483" s="1">
        <f>IF(D483&gt;0,1/J483,J483)</f>
      </c>
      <c r="N483" s="1">
        <f>IF(D483&gt;0,1/I483,K483)</f>
      </c>
    </row>
    <row r="484">
      <c r="A484">
        <v>13</v>
      </c>
      <c r="B484" t="str">
        <v>CP2</v>
      </c>
      <c r="C484" t="str">
        <v>CP7</v>
      </c>
      <c r="D484">
        <v>-6</v>
      </c>
      <c r="E484">
        <v>6</v>
      </c>
      <c r="F484">
        <f>ABS(D484)+1</f>
      </c>
      <c r="G484" t="str">
        <v>← CP2</v>
      </c>
      <c r="H484" t="str">
        <v>VERY_STRONG</v>
      </c>
      <c r="I484">
        <f>IF(F484=1,1,IF(F484&lt;=3,1,IF(F484&lt;=5,3,IF(F484&lt;=7,5,7))))</f>
      </c>
      <c r="J484">
        <f>IF(F484=1,1,IF(F484&lt;=3,3,IF(F484&lt;=5,5,IF(F484&lt;=7,7,9))))</f>
      </c>
      <c r="K484">
        <f>IF(F484=1,1,IF(F484&lt;=3,5,IF(F484&lt;=5,7,IF(F484&lt;=7,9,9))))</f>
      </c>
      <c r="L484" s="1">
        <f>IF(D484&gt;0,1/K484,I484)</f>
      </c>
      <c r="M484" s="1">
        <f>IF(D484&gt;0,1/J484,J484)</f>
      </c>
      <c r="N484" s="1">
        <f>IF(D484&gt;0,1/I484,K484)</f>
      </c>
    </row>
    <row r="485">
      <c r="A485">
        <v>14</v>
      </c>
      <c r="B485" t="str">
        <v>CP2</v>
      </c>
      <c r="C485" t="str">
        <v>CP8</v>
      </c>
      <c r="D485">
        <v>-6</v>
      </c>
      <c r="E485">
        <v>6</v>
      </c>
      <c r="F485">
        <f>ABS(D485)+1</f>
      </c>
      <c r="G485" t="str">
        <v>← CP2</v>
      </c>
      <c r="H485" t="str">
        <v>VERY_STRONG</v>
      </c>
      <c r="I485">
        <f>IF(F485=1,1,IF(F485&lt;=3,1,IF(F485&lt;=5,3,IF(F485&lt;=7,5,7))))</f>
      </c>
      <c r="J485">
        <f>IF(F485=1,1,IF(F485&lt;=3,3,IF(F485&lt;=5,5,IF(F485&lt;=7,7,9))))</f>
      </c>
      <c r="K485">
        <f>IF(F485=1,1,IF(F485&lt;=3,5,IF(F485&lt;=5,7,IF(F485&lt;=7,9,9))))</f>
      </c>
      <c r="L485" s="1">
        <f>IF(D485&gt;0,1/K485,I485)</f>
      </c>
      <c r="M485" s="1">
        <f>IF(D485&gt;0,1/J485,J485)</f>
      </c>
      <c r="N485" s="1">
        <f>IF(D485&gt;0,1/I485,K485)</f>
      </c>
    </row>
    <row r="486">
      <c r="A486">
        <v>15</v>
      </c>
      <c r="B486" t="str">
        <v>CP2</v>
      </c>
      <c r="C486" t="str">
        <v>CP9</v>
      </c>
      <c r="D486">
        <v>-6</v>
      </c>
      <c r="E486">
        <v>6</v>
      </c>
      <c r="F486">
        <f>ABS(D486)+1</f>
      </c>
      <c r="G486" t="str">
        <v>← CP2</v>
      </c>
      <c r="H486" t="str">
        <v>VERY_STRONG</v>
      </c>
      <c r="I486">
        <f>IF(F486=1,1,IF(F486&lt;=3,1,IF(F486&lt;=5,3,IF(F486&lt;=7,5,7))))</f>
      </c>
      <c r="J486">
        <f>IF(F486=1,1,IF(F486&lt;=3,3,IF(F486&lt;=5,5,IF(F486&lt;=7,7,9))))</f>
      </c>
      <c r="K486">
        <f>IF(F486=1,1,IF(F486&lt;=3,5,IF(F486&lt;=5,7,IF(F486&lt;=7,9,9))))</f>
      </c>
      <c r="L486" s="1">
        <f>IF(D486&gt;0,1/K486,I486)</f>
      </c>
      <c r="M486" s="1">
        <f>IF(D486&gt;0,1/J486,J486)</f>
      </c>
      <c r="N486" s="1">
        <f>IF(D486&gt;0,1/I486,K486)</f>
      </c>
    </row>
    <row r="487">
      <c r="A487">
        <v>16</v>
      </c>
      <c r="B487" t="str">
        <v>CP3</v>
      </c>
      <c r="C487" t="str">
        <v>CP4</v>
      </c>
      <c r="D487">
        <v>6</v>
      </c>
      <c r="E487">
        <v>6</v>
      </c>
      <c r="F487">
        <f>ABS(D487)+1</f>
      </c>
      <c r="G487" t="str">
        <v>→ CP4</v>
      </c>
      <c r="H487" t="str">
        <v>VERY_STRONG</v>
      </c>
      <c r="I487">
        <f>IF(F487=1,1,IF(F487&lt;=3,1,IF(F487&lt;=5,3,IF(F487&lt;=7,5,7))))</f>
      </c>
      <c r="J487">
        <f>IF(F487=1,1,IF(F487&lt;=3,3,IF(F487&lt;=5,5,IF(F487&lt;=7,7,9))))</f>
      </c>
      <c r="K487">
        <f>IF(F487=1,1,IF(F487&lt;=3,5,IF(F487&lt;=5,7,IF(F487&lt;=7,9,9))))</f>
      </c>
      <c r="L487" s="1">
        <f>IF(D487&gt;0,1/K487,I487)</f>
      </c>
      <c r="M487" s="1">
        <f>IF(D487&gt;0,1/J487,J487)</f>
      </c>
      <c r="N487" s="1">
        <f>IF(D487&gt;0,1/I487,K487)</f>
      </c>
    </row>
    <row r="488">
      <c r="A488">
        <v>17</v>
      </c>
      <c r="B488" t="str">
        <v>CP3</v>
      </c>
      <c r="C488" t="str">
        <v>CP5</v>
      </c>
      <c r="D488">
        <v>7</v>
      </c>
      <c r="E488">
        <v>7</v>
      </c>
      <c r="F488">
        <f>ABS(D488)+1</f>
      </c>
      <c r="G488" t="str">
        <v>→ CP5</v>
      </c>
      <c r="H488" t="str">
        <v>EXTREME</v>
      </c>
      <c r="I488">
        <f>IF(F488=1,1,IF(F488&lt;=3,1,IF(F488&lt;=5,3,IF(F488&lt;=7,5,7))))</f>
      </c>
      <c r="J488">
        <f>IF(F488=1,1,IF(F488&lt;=3,3,IF(F488&lt;=5,5,IF(F488&lt;=7,7,9))))</f>
      </c>
      <c r="K488">
        <f>IF(F488=1,1,IF(F488&lt;=3,5,IF(F488&lt;=5,7,IF(F488&lt;=7,9,9))))</f>
      </c>
      <c r="L488" s="1">
        <f>IF(D488&gt;0,1/K488,I488)</f>
      </c>
      <c r="M488" s="1">
        <f>IF(D488&gt;0,1/J488,J488)</f>
      </c>
      <c r="N488" s="1">
        <f>IF(D488&gt;0,1/I488,K488)</f>
      </c>
    </row>
    <row r="489">
      <c r="A489">
        <v>18</v>
      </c>
      <c r="B489" t="str">
        <v>CP3</v>
      </c>
      <c r="C489" t="str">
        <v>CP6</v>
      </c>
      <c r="D489">
        <v>6</v>
      </c>
      <c r="E489">
        <v>6</v>
      </c>
      <c r="F489">
        <f>ABS(D489)+1</f>
      </c>
      <c r="G489" t="str">
        <v>→ CP6</v>
      </c>
      <c r="H489" t="str">
        <v>VERY_STRONG</v>
      </c>
      <c r="I489">
        <f>IF(F489=1,1,IF(F489&lt;=3,1,IF(F489&lt;=5,3,IF(F489&lt;=7,5,7))))</f>
      </c>
      <c r="J489">
        <f>IF(F489=1,1,IF(F489&lt;=3,3,IF(F489&lt;=5,5,IF(F489&lt;=7,7,9))))</f>
      </c>
      <c r="K489">
        <f>IF(F489=1,1,IF(F489&lt;=3,5,IF(F489&lt;=5,7,IF(F489&lt;=7,9,9))))</f>
      </c>
      <c r="L489" s="1">
        <f>IF(D489&gt;0,1/K489,I489)</f>
      </c>
      <c r="M489" s="1">
        <f>IF(D489&gt;0,1/J489,J489)</f>
      </c>
      <c r="N489" s="1">
        <f>IF(D489&gt;0,1/I489,K489)</f>
      </c>
    </row>
    <row r="490">
      <c r="A490">
        <v>19</v>
      </c>
      <c r="B490" t="str">
        <v>CP3</v>
      </c>
      <c r="C490" t="str">
        <v>CP7</v>
      </c>
      <c r="D490">
        <v>6</v>
      </c>
      <c r="E490">
        <v>6</v>
      </c>
      <c r="F490">
        <f>ABS(D490)+1</f>
      </c>
      <c r="G490" t="str">
        <v>→ CP7</v>
      </c>
      <c r="H490" t="str">
        <v>VERY_STRONG</v>
      </c>
      <c r="I490">
        <f>IF(F490=1,1,IF(F490&lt;=3,1,IF(F490&lt;=5,3,IF(F490&lt;=7,5,7))))</f>
      </c>
      <c r="J490">
        <f>IF(F490=1,1,IF(F490&lt;=3,3,IF(F490&lt;=5,5,IF(F490&lt;=7,7,9))))</f>
      </c>
      <c r="K490">
        <f>IF(F490=1,1,IF(F490&lt;=3,5,IF(F490&lt;=5,7,IF(F490&lt;=7,9,9))))</f>
      </c>
      <c r="L490" s="1">
        <f>IF(D490&gt;0,1/K490,I490)</f>
      </c>
      <c r="M490" s="1">
        <f>IF(D490&gt;0,1/J490,J490)</f>
      </c>
      <c r="N490" s="1">
        <f>IF(D490&gt;0,1/I490,K490)</f>
      </c>
    </row>
    <row r="491">
      <c r="A491">
        <v>20</v>
      </c>
      <c r="B491" t="str">
        <v>CP3</v>
      </c>
      <c r="C491" t="str">
        <v>CP8</v>
      </c>
      <c r="D491">
        <v>6</v>
      </c>
      <c r="E491">
        <v>6</v>
      </c>
      <c r="F491">
        <f>ABS(D491)+1</f>
      </c>
      <c r="G491" t="str">
        <v>→ CP8</v>
      </c>
      <c r="H491" t="str">
        <v>VERY_STRONG</v>
      </c>
      <c r="I491">
        <f>IF(F491=1,1,IF(F491&lt;=3,1,IF(F491&lt;=5,3,IF(F491&lt;=7,5,7))))</f>
      </c>
      <c r="J491">
        <f>IF(F491=1,1,IF(F491&lt;=3,3,IF(F491&lt;=5,5,IF(F491&lt;=7,7,9))))</f>
      </c>
      <c r="K491">
        <f>IF(F491=1,1,IF(F491&lt;=3,5,IF(F491&lt;=5,7,IF(F491&lt;=7,9,9))))</f>
      </c>
      <c r="L491" s="1">
        <f>IF(D491&gt;0,1/K491,I491)</f>
      </c>
      <c r="M491" s="1">
        <f>IF(D491&gt;0,1/J491,J491)</f>
      </c>
      <c r="N491" s="1">
        <f>IF(D491&gt;0,1/I491,K491)</f>
      </c>
    </row>
    <row r="492">
      <c r="A492">
        <v>21</v>
      </c>
      <c r="B492" t="str">
        <v>CP3</v>
      </c>
      <c r="C492" t="str">
        <v>CP9</v>
      </c>
      <c r="D492">
        <v>6</v>
      </c>
      <c r="E492">
        <v>6</v>
      </c>
      <c r="F492">
        <f>ABS(D492)+1</f>
      </c>
      <c r="G492" t="str">
        <v>→ CP9</v>
      </c>
      <c r="H492" t="str">
        <v>VERY_STRONG</v>
      </c>
      <c r="I492">
        <f>IF(F492=1,1,IF(F492&lt;=3,1,IF(F492&lt;=5,3,IF(F492&lt;=7,5,7))))</f>
      </c>
      <c r="J492">
        <f>IF(F492=1,1,IF(F492&lt;=3,3,IF(F492&lt;=5,5,IF(F492&lt;=7,7,9))))</f>
      </c>
      <c r="K492">
        <f>IF(F492=1,1,IF(F492&lt;=3,5,IF(F492&lt;=5,7,IF(F492&lt;=7,9,9))))</f>
      </c>
      <c r="L492" s="1">
        <f>IF(D492&gt;0,1/K492,I492)</f>
      </c>
      <c r="M492" s="1">
        <f>IF(D492&gt;0,1/J492,J492)</f>
      </c>
      <c r="N492" s="1">
        <f>IF(D492&gt;0,1/I492,K492)</f>
      </c>
    </row>
    <row r="493">
      <c r="A493">
        <v>22</v>
      </c>
      <c r="B493" t="str">
        <v>CP4</v>
      </c>
      <c r="C493" t="str">
        <v>CP5</v>
      </c>
      <c r="D493">
        <v>6</v>
      </c>
      <c r="E493">
        <v>6</v>
      </c>
      <c r="F493">
        <f>ABS(D493)+1</f>
      </c>
      <c r="G493" t="str">
        <v>→ CP5</v>
      </c>
      <c r="H493" t="str">
        <v>VERY_STRONG</v>
      </c>
      <c r="I493">
        <f>IF(F493=1,1,IF(F493&lt;=3,1,IF(F493&lt;=5,3,IF(F493&lt;=7,5,7))))</f>
      </c>
      <c r="J493">
        <f>IF(F493=1,1,IF(F493&lt;=3,3,IF(F493&lt;=5,5,IF(F493&lt;=7,7,9))))</f>
      </c>
      <c r="K493">
        <f>IF(F493=1,1,IF(F493&lt;=3,5,IF(F493&lt;=5,7,IF(F493&lt;=7,9,9))))</f>
      </c>
      <c r="L493" s="1">
        <f>IF(D493&gt;0,1/K493,I493)</f>
      </c>
      <c r="M493" s="1">
        <f>IF(D493&gt;0,1/J493,J493)</f>
      </c>
      <c r="N493" s="1">
        <f>IF(D493&gt;0,1/I493,K493)</f>
      </c>
    </row>
    <row r="494">
      <c r="A494">
        <v>23</v>
      </c>
      <c r="B494" t="str">
        <v>CP4</v>
      </c>
      <c r="C494" t="str">
        <v>CP6</v>
      </c>
      <c r="D494">
        <v>6</v>
      </c>
      <c r="E494">
        <v>6</v>
      </c>
      <c r="F494">
        <f>ABS(D494)+1</f>
      </c>
      <c r="G494" t="str">
        <v>→ CP6</v>
      </c>
      <c r="H494" t="str">
        <v>VERY_STRONG</v>
      </c>
      <c r="I494">
        <f>IF(F494=1,1,IF(F494&lt;=3,1,IF(F494&lt;=5,3,IF(F494&lt;=7,5,7))))</f>
      </c>
      <c r="J494">
        <f>IF(F494=1,1,IF(F494&lt;=3,3,IF(F494&lt;=5,5,IF(F494&lt;=7,7,9))))</f>
      </c>
      <c r="K494">
        <f>IF(F494=1,1,IF(F494&lt;=3,5,IF(F494&lt;=5,7,IF(F494&lt;=7,9,9))))</f>
      </c>
      <c r="L494" s="1">
        <f>IF(D494&gt;0,1/K494,I494)</f>
      </c>
      <c r="M494" s="1">
        <f>IF(D494&gt;0,1/J494,J494)</f>
      </c>
      <c r="N494" s="1">
        <f>IF(D494&gt;0,1/I494,K494)</f>
      </c>
    </row>
    <row r="495">
      <c r="A495">
        <v>24</v>
      </c>
      <c r="B495" t="str">
        <v>CP4</v>
      </c>
      <c r="C495" t="str">
        <v>CP7</v>
      </c>
      <c r="D495">
        <v>0</v>
      </c>
      <c r="E495">
        <v>0</v>
      </c>
      <c r="F495">
        <f>ABS(D495)+1</f>
      </c>
      <c r="G495" t="str">
        <v>= Sama</v>
      </c>
      <c r="H495" t="str">
        <v>EQUAL</v>
      </c>
      <c r="I495">
        <f>IF(F495=1,1,IF(F495&lt;=3,1,IF(F495&lt;=5,3,IF(F495&lt;=7,5,7))))</f>
      </c>
      <c r="J495">
        <f>IF(F495=1,1,IF(F495&lt;=3,3,IF(F495&lt;=5,5,IF(F495&lt;=7,7,9))))</f>
      </c>
      <c r="K495">
        <f>IF(F495=1,1,IF(F495&lt;=3,5,IF(F495&lt;=5,7,IF(F495&lt;=7,9,9))))</f>
      </c>
      <c r="L495" s="1">
        <f>IF(D495&gt;0,1/K495,I495)</f>
      </c>
      <c r="M495" s="1">
        <f>IF(D495&gt;0,1/J495,J495)</f>
      </c>
      <c r="N495" s="1">
        <f>IF(D495&gt;0,1/I495,K495)</f>
      </c>
    </row>
    <row r="496">
      <c r="A496">
        <v>25</v>
      </c>
      <c r="B496" t="str">
        <v>CP4</v>
      </c>
      <c r="C496" t="str">
        <v>CP8</v>
      </c>
      <c r="D496">
        <v>6</v>
      </c>
      <c r="E496">
        <v>6</v>
      </c>
      <c r="F496">
        <f>ABS(D496)+1</f>
      </c>
      <c r="G496" t="str">
        <v>→ CP8</v>
      </c>
      <c r="H496" t="str">
        <v>VERY_STRONG</v>
      </c>
      <c r="I496">
        <f>IF(F496=1,1,IF(F496&lt;=3,1,IF(F496&lt;=5,3,IF(F496&lt;=7,5,7))))</f>
      </c>
      <c r="J496">
        <f>IF(F496=1,1,IF(F496&lt;=3,3,IF(F496&lt;=5,5,IF(F496&lt;=7,7,9))))</f>
      </c>
      <c r="K496">
        <f>IF(F496=1,1,IF(F496&lt;=3,5,IF(F496&lt;=5,7,IF(F496&lt;=7,9,9))))</f>
      </c>
      <c r="L496" s="1">
        <f>IF(D496&gt;0,1/K496,I496)</f>
      </c>
      <c r="M496" s="1">
        <f>IF(D496&gt;0,1/J496,J496)</f>
      </c>
      <c r="N496" s="1">
        <f>IF(D496&gt;0,1/I496,K496)</f>
      </c>
    </row>
    <row r="497">
      <c r="A497">
        <v>26</v>
      </c>
      <c r="B497" t="str">
        <v>CP4</v>
      </c>
      <c r="C497" t="str">
        <v>CP9</v>
      </c>
      <c r="D497">
        <v>6</v>
      </c>
      <c r="E497">
        <v>6</v>
      </c>
      <c r="F497">
        <f>ABS(D497)+1</f>
      </c>
      <c r="G497" t="str">
        <v>→ CP9</v>
      </c>
      <c r="H497" t="str">
        <v>VERY_STRONG</v>
      </c>
      <c r="I497">
        <f>IF(F497=1,1,IF(F497&lt;=3,1,IF(F497&lt;=5,3,IF(F497&lt;=7,5,7))))</f>
      </c>
      <c r="J497">
        <f>IF(F497=1,1,IF(F497&lt;=3,3,IF(F497&lt;=5,5,IF(F497&lt;=7,7,9))))</f>
      </c>
      <c r="K497">
        <f>IF(F497=1,1,IF(F497&lt;=3,5,IF(F497&lt;=5,7,IF(F497&lt;=7,9,9))))</f>
      </c>
      <c r="L497" s="1">
        <f>IF(D497&gt;0,1/K497,I497)</f>
      </c>
      <c r="M497" s="1">
        <f>IF(D497&gt;0,1/J497,J497)</f>
      </c>
      <c r="N497" s="1">
        <f>IF(D497&gt;0,1/I497,K497)</f>
      </c>
    </row>
    <row r="498">
      <c r="A498">
        <v>27</v>
      </c>
      <c r="B498" t="str">
        <v>CP5</v>
      </c>
      <c r="C498" t="str">
        <v>CP6</v>
      </c>
      <c r="D498">
        <v>-6</v>
      </c>
      <c r="E498">
        <v>6</v>
      </c>
      <c r="F498">
        <f>ABS(D498)+1</f>
      </c>
      <c r="G498" t="str">
        <v>← CP5</v>
      </c>
      <c r="H498" t="str">
        <v>VERY_STRONG</v>
      </c>
      <c r="I498">
        <f>IF(F498=1,1,IF(F498&lt;=3,1,IF(F498&lt;=5,3,IF(F498&lt;=7,5,7))))</f>
      </c>
      <c r="J498">
        <f>IF(F498=1,1,IF(F498&lt;=3,3,IF(F498&lt;=5,5,IF(F498&lt;=7,7,9))))</f>
      </c>
      <c r="K498">
        <f>IF(F498=1,1,IF(F498&lt;=3,5,IF(F498&lt;=5,7,IF(F498&lt;=7,9,9))))</f>
      </c>
      <c r="L498" s="1">
        <f>IF(D498&gt;0,1/K498,I498)</f>
      </c>
      <c r="M498" s="1">
        <f>IF(D498&gt;0,1/J498,J498)</f>
      </c>
      <c r="N498" s="1">
        <f>IF(D498&gt;0,1/I498,K498)</f>
      </c>
    </row>
    <row r="499">
      <c r="A499">
        <v>28</v>
      </c>
      <c r="B499" t="str">
        <v>CP5</v>
      </c>
      <c r="C499" t="str">
        <v>CP7</v>
      </c>
      <c r="D499">
        <v>0</v>
      </c>
      <c r="E499">
        <v>0</v>
      </c>
      <c r="F499">
        <f>ABS(D499)+1</f>
      </c>
      <c r="G499" t="str">
        <v>= Sama</v>
      </c>
      <c r="H499" t="str">
        <v>EQUAL</v>
      </c>
      <c r="I499">
        <f>IF(F499=1,1,IF(F499&lt;=3,1,IF(F499&lt;=5,3,IF(F499&lt;=7,5,7))))</f>
      </c>
      <c r="J499">
        <f>IF(F499=1,1,IF(F499&lt;=3,3,IF(F499&lt;=5,5,IF(F499&lt;=7,7,9))))</f>
      </c>
      <c r="K499">
        <f>IF(F499=1,1,IF(F499&lt;=3,5,IF(F499&lt;=5,7,IF(F499&lt;=7,9,9))))</f>
      </c>
      <c r="L499" s="1">
        <f>IF(D499&gt;0,1/K499,I499)</f>
      </c>
      <c r="M499" s="1">
        <f>IF(D499&gt;0,1/J499,J499)</f>
      </c>
      <c r="N499" s="1">
        <f>IF(D499&gt;0,1/I499,K499)</f>
      </c>
    </row>
    <row r="500">
      <c r="A500">
        <v>29</v>
      </c>
      <c r="B500" t="str">
        <v>CP5</v>
      </c>
      <c r="C500" t="str">
        <v>CP8</v>
      </c>
      <c r="D500">
        <v>-6</v>
      </c>
      <c r="E500">
        <v>6</v>
      </c>
      <c r="F500">
        <f>ABS(D500)+1</f>
      </c>
      <c r="G500" t="str">
        <v>← CP5</v>
      </c>
      <c r="H500" t="str">
        <v>VERY_STRONG</v>
      </c>
      <c r="I500">
        <f>IF(F500=1,1,IF(F500&lt;=3,1,IF(F500&lt;=5,3,IF(F500&lt;=7,5,7))))</f>
      </c>
      <c r="J500">
        <f>IF(F500=1,1,IF(F500&lt;=3,3,IF(F500&lt;=5,5,IF(F500&lt;=7,7,9))))</f>
      </c>
      <c r="K500">
        <f>IF(F500=1,1,IF(F500&lt;=3,5,IF(F500&lt;=5,7,IF(F500&lt;=7,9,9))))</f>
      </c>
      <c r="L500" s="1">
        <f>IF(D500&gt;0,1/K500,I500)</f>
      </c>
      <c r="M500" s="1">
        <f>IF(D500&gt;0,1/J500,J500)</f>
      </c>
      <c r="N500" s="1">
        <f>IF(D500&gt;0,1/I500,K500)</f>
      </c>
    </row>
    <row r="501">
      <c r="A501">
        <v>30</v>
      </c>
      <c r="B501" t="str">
        <v>CP5</v>
      </c>
      <c r="C501" t="str">
        <v>CP9</v>
      </c>
      <c r="D501">
        <v>-6</v>
      </c>
      <c r="E501">
        <v>6</v>
      </c>
      <c r="F501">
        <f>ABS(D501)+1</f>
      </c>
      <c r="G501" t="str">
        <v>← CP5</v>
      </c>
      <c r="H501" t="str">
        <v>VERY_STRONG</v>
      </c>
      <c r="I501">
        <f>IF(F501=1,1,IF(F501&lt;=3,1,IF(F501&lt;=5,3,IF(F501&lt;=7,5,7))))</f>
      </c>
      <c r="J501">
        <f>IF(F501=1,1,IF(F501&lt;=3,3,IF(F501&lt;=5,5,IF(F501&lt;=7,7,9))))</f>
      </c>
      <c r="K501">
        <f>IF(F501=1,1,IF(F501&lt;=3,5,IF(F501&lt;=5,7,IF(F501&lt;=7,9,9))))</f>
      </c>
      <c r="L501" s="1">
        <f>IF(D501&gt;0,1/K501,I501)</f>
      </c>
      <c r="M501" s="1">
        <f>IF(D501&gt;0,1/J501,J501)</f>
      </c>
      <c r="N501" s="1">
        <f>IF(D501&gt;0,1/I501,K501)</f>
      </c>
    </row>
    <row r="502">
      <c r="A502">
        <v>31</v>
      </c>
      <c r="B502" t="str">
        <v>CP6</v>
      </c>
      <c r="C502" t="str">
        <v>CP7</v>
      </c>
      <c r="D502">
        <v>-6</v>
      </c>
      <c r="E502">
        <v>6</v>
      </c>
      <c r="F502">
        <f>ABS(D502)+1</f>
      </c>
      <c r="G502" t="str">
        <v>← CP6</v>
      </c>
      <c r="H502" t="str">
        <v>VERY_STRONG</v>
      </c>
      <c r="I502">
        <f>IF(F502=1,1,IF(F502&lt;=3,1,IF(F502&lt;=5,3,IF(F502&lt;=7,5,7))))</f>
      </c>
      <c r="J502">
        <f>IF(F502=1,1,IF(F502&lt;=3,3,IF(F502&lt;=5,5,IF(F502&lt;=7,7,9))))</f>
      </c>
      <c r="K502">
        <f>IF(F502=1,1,IF(F502&lt;=3,5,IF(F502&lt;=5,7,IF(F502&lt;=7,9,9))))</f>
      </c>
      <c r="L502" s="1">
        <f>IF(D502&gt;0,1/K502,I502)</f>
      </c>
      <c r="M502" s="1">
        <f>IF(D502&gt;0,1/J502,J502)</f>
      </c>
      <c r="N502" s="1">
        <f>IF(D502&gt;0,1/I502,K502)</f>
      </c>
    </row>
    <row r="503">
      <c r="A503">
        <v>32</v>
      </c>
      <c r="B503" t="str">
        <v>CP6</v>
      </c>
      <c r="C503" t="str">
        <v>CP8</v>
      </c>
      <c r="D503">
        <v>6</v>
      </c>
      <c r="E503">
        <v>6</v>
      </c>
      <c r="F503">
        <f>ABS(D503)+1</f>
      </c>
      <c r="G503" t="str">
        <v>→ CP8</v>
      </c>
      <c r="H503" t="str">
        <v>VERY_STRONG</v>
      </c>
      <c r="I503">
        <f>IF(F503=1,1,IF(F503&lt;=3,1,IF(F503&lt;=5,3,IF(F503&lt;=7,5,7))))</f>
      </c>
      <c r="J503">
        <f>IF(F503=1,1,IF(F503&lt;=3,3,IF(F503&lt;=5,5,IF(F503&lt;=7,7,9))))</f>
      </c>
      <c r="K503">
        <f>IF(F503=1,1,IF(F503&lt;=3,5,IF(F503&lt;=5,7,IF(F503&lt;=7,9,9))))</f>
      </c>
      <c r="L503" s="1">
        <f>IF(D503&gt;0,1/K503,I503)</f>
      </c>
      <c r="M503" s="1">
        <f>IF(D503&gt;0,1/J503,J503)</f>
      </c>
      <c r="N503" s="1">
        <f>IF(D503&gt;0,1/I503,K503)</f>
      </c>
    </row>
    <row r="504">
      <c r="A504">
        <v>33</v>
      </c>
      <c r="B504" t="str">
        <v>CP6</v>
      </c>
      <c r="C504" t="str">
        <v>CP9</v>
      </c>
      <c r="D504">
        <v>6</v>
      </c>
      <c r="E504">
        <v>6</v>
      </c>
      <c r="F504">
        <f>ABS(D504)+1</f>
      </c>
      <c r="G504" t="str">
        <v>→ CP9</v>
      </c>
      <c r="H504" t="str">
        <v>VERY_STRONG</v>
      </c>
      <c r="I504">
        <f>IF(F504=1,1,IF(F504&lt;=3,1,IF(F504&lt;=5,3,IF(F504&lt;=7,5,7))))</f>
      </c>
      <c r="J504">
        <f>IF(F504=1,1,IF(F504&lt;=3,3,IF(F504&lt;=5,5,IF(F504&lt;=7,7,9))))</f>
      </c>
      <c r="K504">
        <f>IF(F504=1,1,IF(F504&lt;=3,5,IF(F504&lt;=5,7,IF(F504&lt;=7,9,9))))</f>
      </c>
      <c r="L504" s="1">
        <f>IF(D504&gt;0,1/K504,I504)</f>
      </c>
      <c r="M504" s="1">
        <f>IF(D504&gt;0,1/J504,J504)</f>
      </c>
      <c r="N504" s="1">
        <f>IF(D504&gt;0,1/I504,K504)</f>
      </c>
    </row>
    <row r="505">
      <c r="A505">
        <v>34</v>
      </c>
      <c r="B505" t="str">
        <v>CP7</v>
      </c>
      <c r="C505" t="str">
        <v>CP8</v>
      </c>
      <c r="D505">
        <v>-6</v>
      </c>
      <c r="E505">
        <v>6</v>
      </c>
      <c r="F505">
        <f>ABS(D505)+1</f>
      </c>
      <c r="G505" t="str">
        <v>← CP7</v>
      </c>
      <c r="H505" t="str">
        <v>VERY_STRONG</v>
      </c>
      <c r="I505">
        <f>IF(F505=1,1,IF(F505&lt;=3,1,IF(F505&lt;=5,3,IF(F505&lt;=7,5,7))))</f>
      </c>
      <c r="J505">
        <f>IF(F505=1,1,IF(F505&lt;=3,3,IF(F505&lt;=5,5,IF(F505&lt;=7,7,9))))</f>
      </c>
      <c r="K505">
        <f>IF(F505=1,1,IF(F505&lt;=3,5,IF(F505&lt;=5,7,IF(F505&lt;=7,9,9))))</f>
      </c>
      <c r="L505" s="1">
        <f>IF(D505&gt;0,1/K505,I505)</f>
      </c>
      <c r="M505" s="1">
        <f>IF(D505&gt;0,1/J505,J505)</f>
      </c>
      <c r="N505" s="1">
        <f>IF(D505&gt;0,1/I505,K505)</f>
      </c>
    </row>
    <row r="506">
      <c r="A506">
        <v>35</v>
      </c>
      <c r="B506" t="str">
        <v>CP7</v>
      </c>
      <c r="C506" t="str">
        <v>CP9</v>
      </c>
      <c r="D506">
        <v>-6</v>
      </c>
      <c r="E506">
        <v>6</v>
      </c>
      <c r="F506">
        <f>ABS(D506)+1</f>
      </c>
      <c r="G506" t="str">
        <v>← CP7</v>
      </c>
      <c r="H506" t="str">
        <v>VERY_STRONG</v>
      </c>
      <c r="I506">
        <f>IF(F506=1,1,IF(F506&lt;=3,1,IF(F506&lt;=5,3,IF(F506&lt;=7,5,7))))</f>
      </c>
      <c r="J506">
        <f>IF(F506=1,1,IF(F506&lt;=3,3,IF(F506&lt;=5,5,IF(F506&lt;=7,7,9))))</f>
      </c>
      <c r="K506">
        <f>IF(F506=1,1,IF(F506&lt;=3,5,IF(F506&lt;=5,7,IF(F506&lt;=7,9,9))))</f>
      </c>
      <c r="L506" s="1">
        <f>IF(D506&gt;0,1/K506,I506)</f>
      </c>
      <c r="M506" s="1">
        <f>IF(D506&gt;0,1/J506,J506)</f>
      </c>
      <c r="N506" s="1">
        <f>IF(D506&gt;0,1/I506,K506)</f>
      </c>
    </row>
    <row r="507">
      <c r="A507">
        <v>36</v>
      </c>
      <c r="B507" t="str">
        <v>CP8</v>
      </c>
      <c r="C507" t="str">
        <v>CP9</v>
      </c>
      <c r="D507">
        <v>-6</v>
      </c>
      <c r="E507">
        <v>6</v>
      </c>
      <c r="F507">
        <f>ABS(D507)+1</f>
      </c>
      <c r="G507" t="str">
        <v>← CP8</v>
      </c>
      <c r="H507" t="str">
        <v>VERY_STRONG</v>
      </c>
      <c r="I507">
        <f>IF(F507=1,1,IF(F507&lt;=3,1,IF(F507&lt;=5,3,IF(F507&lt;=7,5,7))))</f>
      </c>
      <c r="J507">
        <f>IF(F507=1,1,IF(F507&lt;=3,3,IF(F507&lt;=5,5,IF(F507&lt;=7,7,9))))</f>
      </c>
      <c r="K507">
        <f>IF(F507=1,1,IF(F507&lt;=3,5,IF(F507&lt;=5,7,IF(F507&lt;=7,9,9))))</f>
      </c>
      <c r="L507" s="1">
        <f>IF(D507&gt;0,1/K507,I507)</f>
      </c>
      <c r="M507" s="1">
        <f>IF(D507&gt;0,1/J507,J507)</f>
      </c>
      <c r="N507" s="1">
        <f>IF(D507&gt;0,1/I507,K507)</f>
      </c>
    </row>
    <row r="510">
      <c r="A510" t="str">
        <v>═══ RESPONDEN 13: SRI NOVRIANI  ═══</v>
      </c>
    </row>
    <row r="511">
      <c r="A511" t="str">
        <v xml:space="preserve">Jabatan: Pengawas Bibit Ternak  | Instansi: Dinas Peternakan dan Kesehatan Hewan Provinsi Riau </v>
      </c>
    </row>
    <row r="512">
      <c r="A512" t="str">
        <v>No</v>
      </c>
      <c r="B512" t="str">
        <v>Krit. A</v>
      </c>
      <c r="C512" t="str">
        <v>Krit. B</v>
      </c>
      <c r="D512" t="str">
        <v>Slider</v>
      </c>
      <c r="E512" t="str">
        <v>|Slider|</v>
      </c>
      <c r="F512" t="str">
        <v>absVal</v>
      </c>
      <c r="G512" t="str">
        <v>Arah</v>
      </c>
      <c r="H512" t="str">
        <v>Fuzzy</v>
      </c>
      <c r="I512" t="str">
        <v>l_orig</v>
      </c>
      <c r="J512" t="str">
        <v>m_orig</v>
      </c>
      <c r="K512" t="str">
        <v>u_orig</v>
      </c>
      <c r="L512" t="str">
        <v>TFN_l</v>
      </c>
      <c r="M512" t="str">
        <v>TFN_m</v>
      </c>
      <c r="N512" t="str">
        <v>TFN_u</v>
      </c>
    </row>
    <row r="513">
      <c r="A513">
        <v>1</v>
      </c>
      <c r="B513" t="str">
        <v>CP1</v>
      </c>
      <c r="C513" t="str">
        <v>CP2</v>
      </c>
      <c r="D513">
        <v>8</v>
      </c>
      <c r="E513">
        <v>8</v>
      </c>
      <c r="F513">
        <f>ABS(D513)+1</f>
      </c>
      <c r="G513" t="str">
        <v>→ CP2</v>
      </c>
      <c r="H513" t="str">
        <v>EXTREME</v>
      </c>
      <c r="I513">
        <f>IF(F513=1,1,IF(F513&lt;=3,1,IF(F513&lt;=5,3,IF(F513&lt;=7,5,7))))</f>
      </c>
      <c r="J513">
        <f>IF(F513=1,1,IF(F513&lt;=3,3,IF(F513&lt;=5,5,IF(F513&lt;=7,7,9))))</f>
      </c>
      <c r="K513">
        <f>IF(F513=1,1,IF(F513&lt;=3,5,IF(F513&lt;=5,7,IF(F513&lt;=7,9,9))))</f>
      </c>
      <c r="L513" s="1">
        <f>IF(D513&gt;0,1/K513,I513)</f>
      </c>
      <c r="M513" s="1">
        <f>IF(D513&gt;0,1/J513,J513)</f>
      </c>
      <c r="N513" s="1">
        <f>IF(D513&gt;0,1/I513,K513)</f>
      </c>
    </row>
    <row r="514">
      <c r="A514">
        <v>2</v>
      </c>
      <c r="B514" t="str">
        <v>CP1</v>
      </c>
      <c r="C514" t="str">
        <v>CP3</v>
      </c>
      <c r="D514">
        <v>8</v>
      </c>
      <c r="E514">
        <v>8</v>
      </c>
      <c r="F514">
        <f>ABS(D514)+1</f>
      </c>
      <c r="G514" t="str">
        <v>→ CP3</v>
      </c>
      <c r="H514" t="str">
        <v>EXTREME</v>
      </c>
      <c r="I514">
        <f>IF(F514=1,1,IF(F514&lt;=3,1,IF(F514&lt;=5,3,IF(F514&lt;=7,5,7))))</f>
      </c>
      <c r="J514">
        <f>IF(F514=1,1,IF(F514&lt;=3,3,IF(F514&lt;=5,5,IF(F514&lt;=7,7,9))))</f>
      </c>
      <c r="K514">
        <f>IF(F514=1,1,IF(F514&lt;=3,5,IF(F514&lt;=5,7,IF(F514&lt;=7,9,9))))</f>
      </c>
      <c r="L514" s="1">
        <f>IF(D514&gt;0,1/K514,I514)</f>
      </c>
      <c r="M514" s="1">
        <f>IF(D514&gt;0,1/J514,J514)</f>
      </c>
      <c r="N514" s="1">
        <f>IF(D514&gt;0,1/I514,K514)</f>
      </c>
    </row>
    <row r="515">
      <c r="A515">
        <v>3</v>
      </c>
      <c r="B515" t="str">
        <v>CP1</v>
      </c>
      <c r="C515" t="str">
        <v>CP4</v>
      </c>
      <c r="D515">
        <v>8</v>
      </c>
      <c r="E515">
        <v>8</v>
      </c>
      <c r="F515">
        <f>ABS(D515)+1</f>
      </c>
      <c r="G515" t="str">
        <v>→ CP4</v>
      </c>
      <c r="H515" t="str">
        <v>EXTREME</v>
      </c>
      <c r="I515">
        <f>IF(F515=1,1,IF(F515&lt;=3,1,IF(F515&lt;=5,3,IF(F515&lt;=7,5,7))))</f>
      </c>
      <c r="J515">
        <f>IF(F515=1,1,IF(F515&lt;=3,3,IF(F515&lt;=5,5,IF(F515&lt;=7,7,9))))</f>
      </c>
      <c r="K515">
        <f>IF(F515=1,1,IF(F515&lt;=3,5,IF(F515&lt;=5,7,IF(F515&lt;=7,9,9))))</f>
      </c>
      <c r="L515" s="1">
        <f>IF(D515&gt;0,1/K515,I515)</f>
      </c>
      <c r="M515" s="1">
        <f>IF(D515&gt;0,1/J515,J515)</f>
      </c>
      <c r="N515" s="1">
        <f>IF(D515&gt;0,1/I515,K515)</f>
      </c>
    </row>
    <row r="516">
      <c r="A516">
        <v>4</v>
      </c>
      <c r="B516" t="str">
        <v>CP1</v>
      </c>
      <c r="C516" t="str">
        <v>CP5</v>
      </c>
      <c r="D516">
        <v>8</v>
      </c>
      <c r="E516">
        <v>8</v>
      </c>
      <c r="F516">
        <f>ABS(D516)+1</f>
      </c>
      <c r="G516" t="str">
        <v>→ CP5</v>
      </c>
      <c r="H516" t="str">
        <v>EXTREME</v>
      </c>
      <c r="I516">
        <f>IF(F516=1,1,IF(F516&lt;=3,1,IF(F516&lt;=5,3,IF(F516&lt;=7,5,7))))</f>
      </c>
      <c r="J516">
        <f>IF(F516=1,1,IF(F516&lt;=3,3,IF(F516&lt;=5,5,IF(F516&lt;=7,7,9))))</f>
      </c>
      <c r="K516">
        <f>IF(F516=1,1,IF(F516&lt;=3,5,IF(F516&lt;=5,7,IF(F516&lt;=7,9,9))))</f>
      </c>
      <c r="L516" s="1">
        <f>IF(D516&gt;0,1/K516,I516)</f>
      </c>
      <c r="M516" s="1">
        <f>IF(D516&gt;0,1/J516,J516)</f>
      </c>
      <c r="N516" s="1">
        <f>IF(D516&gt;0,1/I516,K516)</f>
      </c>
    </row>
    <row r="517">
      <c r="A517">
        <v>5</v>
      </c>
      <c r="B517" t="str">
        <v>CP1</v>
      </c>
      <c r="C517" t="str">
        <v>CP6</v>
      </c>
      <c r="D517">
        <v>6</v>
      </c>
      <c r="E517">
        <v>6</v>
      </c>
      <c r="F517">
        <f>ABS(D517)+1</f>
      </c>
      <c r="G517" t="str">
        <v>→ CP6</v>
      </c>
      <c r="H517" t="str">
        <v>VERY_STRONG</v>
      </c>
      <c r="I517">
        <f>IF(F517=1,1,IF(F517&lt;=3,1,IF(F517&lt;=5,3,IF(F517&lt;=7,5,7))))</f>
      </c>
      <c r="J517">
        <f>IF(F517=1,1,IF(F517&lt;=3,3,IF(F517&lt;=5,5,IF(F517&lt;=7,7,9))))</f>
      </c>
      <c r="K517">
        <f>IF(F517=1,1,IF(F517&lt;=3,5,IF(F517&lt;=5,7,IF(F517&lt;=7,9,9))))</f>
      </c>
      <c r="L517" s="1">
        <f>IF(D517&gt;0,1/K517,I517)</f>
      </c>
      <c r="M517" s="1">
        <f>IF(D517&gt;0,1/J517,J517)</f>
      </c>
      <c r="N517" s="1">
        <f>IF(D517&gt;0,1/I517,K517)</f>
      </c>
    </row>
    <row r="518">
      <c r="A518">
        <v>6</v>
      </c>
      <c r="B518" t="str">
        <v>CP1</v>
      </c>
      <c r="C518" t="str">
        <v>CP7</v>
      </c>
      <c r="D518">
        <v>6</v>
      </c>
      <c r="E518">
        <v>6</v>
      </c>
      <c r="F518">
        <f>ABS(D518)+1</f>
      </c>
      <c r="G518" t="str">
        <v>→ CP7</v>
      </c>
      <c r="H518" t="str">
        <v>VERY_STRONG</v>
      </c>
      <c r="I518">
        <f>IF(F518=1,1,IF(F518&lt;=3,1,IF(F518&lt;=5,3,IF(F518&lt;=7,5,7))))</f>
      </c>
      <c r="J518">
        <f>IF(F518=1,1,IF(F518&lt;=3,3,IF(F518&lt;=5,5,IF(F518&lt;=7,7,9))))</f>
      </c>
      <c r="K518">
        <f>IF(F518=1,1,IF(F518&lt;=3,5,IF(F518&lt;=5,7,IF(F518&lt;=7,9,9))))</f>
      </c>
      <c r="L518" s="1">
        <f>IF(D518&gt;0,1/K518,I518)</f>
      </c>
      <c r="M518" s="1">
        <f>IF(D518&gt;0,1/J518,J518)</f>
      </c>
      <c r="N518" s="1">
        <f>IF(D518&gt;0,1/I518,K518)</f>
      </c>
    </row>
    <row r="519">
      <c r="A519">
        <v>7</v>
      </c>
      <c r="B519" t="str">
        <v>CP1</v>
      </c>
      <c r="C519" t="str">
        <v>CP8</v>
      </c>
      <c r="D519">
        <v>8</v>
      </c>
      <c r="E519">
        <v>8</v>
      </c>
      <c r="F519">
        <f>ABS(D519)+1</f>
      </c>
      <c r="G519" t="str">
        <v>→ CP8</v>
      </c>
      <c r="H519" t="str">
        <v>EXTREME</v>
      </c>
      <c r="I519">
        <f>IF(F519=1,1,IF(F519&lt;=3,1,IF(F519&lt;=5,3,IF(F519&lt;=7,5,7))))</f>
      </c>
      <c r="J519">
        <f>IF(F519=1,1,IF(F519&lt;=3,3,IF(F519&lt;=5,5,IF(F519&lt;=7,7,9))))</f>
      </c>
      <c r="K519">
        <f>IF(F519=1,1,IF(F519&lt;=3,5,IF(F519&lt;=5,7,IF(F519&lt;=7,9,9))))</f>
      </c>
      <c r="L519" s="1">
        <f>IF(D519&gt;0,1/K519,I519)</f>
      </c>
      <c r="M519" s="1">
        <f>IF(D519&gt;0,1/J519,J519)</f>
      </c>
      <c r="N519" s="1">
        <f>IF(D519&gt;0,1/I519,K519)</f>
      </c>
    </row>
    <row r="520">
      <c r="A520">
        <v>8</v>
      </c>
      <c r="B520" t="str">
        <v>CP1</v>
      </c>
      <c r="C520" t="str">
        <v>CP9</v>
      </c>
      <c r="D520">
        <v>5</v>
      </c>
      <c r="E520">
        <v>5</v>
      </c>
      <c r="F520">
        <f>ABS(D520)+1</f>
      </c>
      <c r="G520" t="str">
        <v>→ CP9</v>
      </c>
      <c r="H520" t="str">
        <v>VERY_STRONG</v>
      </c>
      <c r="I520">
        <f>IF(F520=1,1,IF(F520&lt;=3,1,IF(F520&lt;=5,3,IF(F520&lt;=7,5,7))))</f>
      </c>
      <c r="J520">
        <f>IF(F520=1,1,IF(F520&lt;=3,3,IF(F520&lt;=5,5,IF(F520&lt;=7,7,9))))</f>
      </c>
      <c r="K520">
        <f>IF(F520=1,1,IF(F520&lt;=3,5,IF(F520&lt;=5,7,IF(F520&lt;=7,9,9))))</f>
      </c>
      <c r="L520" s="1">
        <f>IF(D520&gt;0,1/K520,I520)</f>
      </c>
      <c r="M520" s="1">
        <f>IF(D520&gt;0,1/J520,J520)</f>
      </c>
      <c r="N520" s="1">
        <f>IF(D520&gt;0,1/I520,K520)</f>
      </c>
    </row>
    <row r="521">
      <c r="A521">
        <v>9</v>
      </c>
      <c r="B521" t="str">
        <v>CP2</v>
      </c>
      <c r="C521" t="str">
        <v>CP3</v>
      </c>
      <c r="D521">
        <v>-6</v>
      </c>
      <c r="E521">
        <v>6</v>
      </c>
      <c r="F521">
        <f>ABS(D521)+1</f>
      </c>
      <c r="G521" t="str">
        <v>← CP2</v>
      </c>
      <c r="H521" t="str">
        <v>VERY_STRONG</v>
      </c>
      <c r="I521">
        <f>IF(F521=1,1,IF(F521&lt;=3,1,IF(F521&lt;=5,3,IF(F521&lt;=7,5,7))))</f>
      </c>
      <c r="J521">
        <f>IF(F521=1,1,IF(F521&lt;=3,3,IF(F521&lt;=5,5,IF(F521&lt;=7,7,9))))</f>
      </c>
      <c r="K521">
        <f>IF(F521=1,1,IF(F521&lt;=3,5,IF(F521&lt;=5,7,IF(F521&lt;=7,9,9))))</f>
      </c>
      <c r="L521" s="1">
        <f>IF(D521&gt;0,1/K521,I521)</f>
      </c>
      <c r="M521" s="1">
        <f>IF(D521&gt;0,1/J521,J521)</f>
      </c>
      <c r="N521" s="1">
        <f>IF(D521&gt;0,1/I521,K521)</f>
      </c>
    </row>
    <row r="522">
      <c r="A522">
        <v>10</v>
      </c>
      <c r="B522" t="str">
        <v>CP2</v>
      </c>
      <c r="C522" t="str">
        <v>CP4</v>
      </c>
      <c r="D522">
        <v>-5</v>
      </c>
      <c r="E522">
        <v>5</v>
      </c>
      <c r="F522">
        <f>ABS(D522)+1</f>
      </c>
      <c r="G522" t="str">
        <v>← CP2</v>
      </c>
      <c r="H522" t="str">
        <v>VERY_STRONG</v>
      </c>
      <c r="I522">
        <f>IF(F522=1,1,IF(F522&lt;=3,1,IF(F522&lt;=5,3,IF(F522&lt;=7,5,7))))</f>
      </c>
      <c r="J522">
        <f>IF(F522=1,1,IF(F522&lt;=3,3,IF(F522&lt;=5,5,IF(F522&lt;=7,7,9))))</f>
      </c>
      <c r="K522">
        <f>IF(F522=1,1,IF(F522&lt;=3,5,IF(F522&lt;=5,7,IF(F522&lt;=7,9,9))))</f>
      </c>
      <c r="L522" s="1">
        <f>IF(D522&gt;0,1/K522,I522)</f>
      </c>
      <c r="M522" s="1">
        <f>IF(D522&gt;0,1/J522,J522)</f>
      </c>
      <c r="N522" s="1">
        <f>IF(D522&gt;0,1/I522,K522)</f>
      </c>
    </row>
    <row r="523">
      <c r="A523">
        <v>11</v>
      </c>
      <c r="B523" t="str">
        <v>CP2</v>
      </c>
      <c r="C523" t="str">
        <v>CP5</v>
      </c>
      <c r="D523">
        <v>-5</v>
      </c>
      <c r="E523">
        <v>5</v>
      </c>
      <c r="F523">
        <f>ABS(D523)+1</f>
      </c>
      <c r="G523" t="str">
        <v>← CP2</v>
      </c>
      <c r="H523" t="str">
        <v>VERY_STRONG</v>
      </c>
      <c r="I523">
        <f>IF(F523=1,1,IF(F523&lt;=3,1,IF(F523&lt;=5,3,IF(F523&lt;=7,5,7))))</f>
      </c>
      <c r="J523">
        <f>IF(F523=1,1,IF(F523&lt;=3,3,IF(F523&lt;=5,5,IF(F523&lt;=7,7,9))))</f>
      </c>
      <c r="K523">
        <f>IF(F523=1,1,IF(F523&lt;=3,5,IF(F523&lt;=5,7,IF(F523&lt;=7,9,9))))</f>
      </c>
      <c r="L523" s="1">
        <f>IF(D523&gt;0,1/K523,I523)</f>
      </c>
      <c r="M523" s="1">
        <f>IF(D523&gt;0,1/J523,J523)</f>
      </c>
      <c r="N523" s="1">
        <f>IF(D523&gt;0,1/I523,K523)</f>
      </c>
    </row>
    <row r="524">
      <c r="A524">
        <v>12</v>
      </c>
      <c r="B524" t="str">
        <v>CP2</v>
      </c>
      <c r="C524" t="str">
        <v>CP6</v>
      </c>
      <c r="D524">
        <v>-5</v>
      </c>
      <c r="E524">
        <v>5</v>
      </c>
      <c r="F524">
        <f>ABS(D524)+1</f>
      </c>
      <c r="G524" t="str">
        <v>← CP2</v>
      </c>
      <c r="H524" t="str">
        <v>VERY_STRONG</v>
      </c>
      <c r="I524">
        <f>IF(F524=1,1,IF(F524&lt;=3,1,IF(F524&lt;=5,3,IF(F524&lt;=7,5,7))))</f>
      </c>
      <c r="J524">
        <f>IF(F524=1,1,IF(F524&lt;=3,3,IF(F524&lt;=5,5,IF(F524&lt;=7,7,9))))</f>
      </c>
      <c r="K524">
        <f>IF(F524=1,1,IF(F524&lt;=3,5,IF(F524&lt;=5,7,IF(F524&lt;=7,9,9))))</f>
      </c>
      <c r="L524" s="1">
        <f>IF(D524&gt;0,1/K524,I524)</f>
      </c>
      <c r="M524" s="1">
        <f>IF(D524&gt;0,1/J524,J524)</f>
      </c>
      <c r="N524" s="1">
        <f>IF(D524&gt;0,1/I524,K524)</f>
      </c>
    </row>
    <row r="525">
      <c r="A525">
        <v>13</v>
      </c>
      <c r="B525" t="str">
        <v>CP2</v>
      </c>
      <c r="C525" t="str">
        <v>CP7</v>
      </c>
      <c r="D525">
        <v>-7</v>
      </c>
      <c r="E525">
        <v>7</v>
      </c>
      <c r="F525">
        <f>ABS(D525)+1</f>
      </c>
      <c r="G525" t="str">
        <v>← CP2</v>
      </c>
      <c r="H525" t="str">
        <v>EXTREME</v>
      </c>
      <c r="I525">
        <f>IF(F525=1,1,IF(F525&lt;=3,1,IF(F525&lt;=5,3,IF(F525&lt;=7,5,7))))</f>
      </c>
      <c r="J525">
        <f>IF(F525=1,1,IF(F525&lt;=3,3,IF(F525&lt;=5,5,IF(F525&lt;=7,7,9))))</f>
      </c>
      <c r="K525">
        <f>IF(F525=1,1,IF(F525&lt;=3,5,IF(F525&lt;=5,7,IF(F525&lt;=7,9,9))))</f>
      </c>
      <c r="L525" s="1">
        <f>IF(D525&gt;0,1/K525,I525)</f>
      </c>
      <c r="M525" s="1">
        <f>IF(D525&gt;0,1/J525,J525)</f>
      </c>
      <c r="N525" s="1">
        <f>IF(D525&gt;0,1/I525,K525)</f>
      </c>
    </row>
    <row r="526">
      <c r="A526">
        <v>14</v>
      </c>
      <c r="B526" t="str">
        <v>CP2</v>
      </c>
      <c r="C526" t="str">
        <v>CP8</v>
      </c>
      <c r="D526">
        <v>-6</v>
      </c>
      <c r="E526">
        <v>6</v>
      </c>
      <c r="F526">
        <f>ABS(D526)+1</f>
      </c>
      <c r="G526" t="str">
        <v>← CP2</v>
      </c>
      <c r="H526" t="str">
        <v>VERY_STRONG</v>
      </c>
      <c r="I526">
        <f>IF(F526=1,1,IF(F526&lt;=3,1,IF(F526&lt;=5,3,IF(F526&lt;=7,5,7))))</f>
      </c>
      <c r="J526">
        <f>IF(F526=1,1,IF(F526&lt;=3,3,IF(F526&lt;=5,5,IF(F526&lt;=7,7,9))))</f>
      </c>
      <c r="K526">
        <f>IF(F526=1,1,IF(F526&lt;=3,5,IF(F526&lt;=5,7,IF(F526&lt;=7,9,9))))</f>
      </c>
      <c r="L526" s="1">
        <f>IF(D526&gt;0,1/K526,I526)</f>
      </c>
      <c r="M526" s="1">
        <f>IF(D526&gt;0,1/J526,J526)</f>
      </c>
      <c r="N526" s="1">
        <f>IF(D526&gt;0,1/I526,K526)</f>
      </c>
    </row>
    <row r="527">
      <c r="A527">
        <v>15</v>
      </c>
      <c r="B527" t="str">
        <v>CP2</v>
      </c>
      <c r="C527" t="str">
        <v>CP9</v>
      </c>
      <c r="D527">
        <v>-6</v>
      </c>
      <c r="E527">
        <v>6</v>
      </c>
      <c r="F527">
        <f>ABS(D527)+1</f>
      </c>
      <c r="G527" t="str">
        <v>← CP2</v>
      </c>
      <c r="H527" t="str">
        <v>VERY_STRONG</v>
      </c>
      <c r="I527">
        <f>IF(F527=1,1,IF(F527&lt;=3,1,IF(F527&lt;=5,3,IF(F527&lt;=7,5,7))))</f>
      </c>
      <c r="J527">
        <f>IF(F527=1,1,IF(F527&lt;=3,3,IF(F527&lt;=5,5,IF(F527&lt;=7,7,9))))</f>
      </c>
      <c r="K527">
        <f>IF(F527=1,1,IF(F527&lt;=3,5,IF(F527&lt;=5,7,IF(F527&lt;=7,9,9))))</f>
      </c>
      <c r="L527" s="1">
        <f>IF(D527&gt;0,1/K527,I527)</f>
      </c>
      <c r="M527" s="1">
        <f>IF(D527&gt;0,1/J527,J527)</f>
      </c>
      <c r="N527" s="1">
        <f>IF(D527&gt;0,1/I527,K527)</f>
      </c>
    </row>
    <row r="528">
      <c r="A528">
        <v>16</v>
      </c>
      <c r="B528" t="str">
        <v>CP3</v>
      </c>
      <c r="C528" t="str">
        <v>CP4</v>
      </c>
      <c r="D528">
        <v>6</v>
      </c>
      <c r="E528">
        <v>6</v>
      </c>
      <c r="F528">
        <f>ABS(D528)+1</f>
      </c>
      <c r="G528" t="str">
        <v>→ CP4</v>
      </c>
      <c r="H528" t="str">
        <v>VERY_STRONG</v>
      </c>
      <c r="I528">
        <f>IF(F528=1,1,IF(F528&lt;=3,1,IF(F528&lt;=5,3,IF(F528&lt;=7,5,7))))</f>
      </c>
      <c r="J528">
        <f>IF(F528=1,1,IF(F528&lt;=3,3,IF(F528&lt;=5,5,IF(F528&lt;=7,7,9))))</f>
      </c>
      <c r="K528">
        <f>IF(F528=1,1,IF(F528&lt;=3,5,IF(F528&lt;=5,7,IF(F528&lt;=7,9,9))))</f>
      </c>
      <c r="L528" s="1">
        <f>IF(D528&gt;0,1/K528,I528)</f>
      </c>
      <c r="M528" s="1">
        <f>IF(D528&gt;0,1/J528,J528)</f>
      </c>
      <c r="N528" s="1">
        <f>IF(D528&gt;0,1/I528,K528)</f>
      </c>
    </row>
    <row r="529">
      <c r="A529">
        <v>17</v>
      </c>
      <c r="B529" t="str">
        <v>CP3</v>
      </c>
      <c r="C529" t="str">
        <v>CP5</v>
      </c>
      <c r="D529">
        <v>5</v>
      </c>
      <c r="E529">
        <v>5</v>
      </c>
      <c r="F529">
        <f>ABS(D529)+1</f>
      </c>
      <c r="G529" t="str">
        <v>→ CP5</v>
      </c>
      <c r="H529" t="str">
        <v>VERY_STRONG</v>
      </c>
      <c r="I529">
        <f>IF(F529=1,1,IF(F529&lt;=3,1,IF(F529&lt;=5,3,IF(F529&lt;=7,5,7))))</f>
      </c>
      <c r="J529">
        <f>IF(F529=1,1,IF(F529&lt;=3,3,IF(F529&lt;=5,5,IF(F529&lt;=7,7,9))))</f>
      </c>
      <c r="K529">
        <f>IF(F529=1,1,IF(F529&lt;=3,5,IF(F529&lt;=5,7,IF(F529&lt;=7,9,9))))</f>
      </c>
      <c r="L529" s="1">
        <f>IF(D529&gt;0,1/K529,I529)</f>
      </c>
      <c r="M529" s="1">
        <f>IF(D529&gt;0,1/J529,J529)</f>
      </c>
      <c r="N529" s="1">
        <f>IF(D529&gt;0,1/I529,K529)</f>
      </c>
    </row>
    <row r="530">
      <c r="A530">
        <v>18</v>
      </c>
      <c r="B530" t="str">
        <v>CP3</v>
      </c>
      <c r="C530" t="str">
        <v>CP6</v>
      </c>
      <c r="D530">
        <v>-5</v>
      </c>
      <c r="E530">
        <v>5</v>
      </c>
      <c r="F530">
        <f>ABS(D530)+1</f>
      </c>
      <c r="G530" t="str">
        <v>← CP3</v>
      </c>
      <c r="H530" t="str">
        <v>VERY_STRONG</v>
      </c>
      <c r="I530">
        <f>IF(F530=1,1,IF(F530&lt;=3,1,IF(F530&lt;=5,3,IF(F530&lt;=7,5,7))))</f>
      </c>
      <c r="J530">
        <f>IF(F530=1,1,IF(F530&lt;=3,3,IF(F530&lt;=5,5,IF(F530&lt;=7,7,9))))</f>
      </c>
      <c r="K530">
        <f>IF(F530=1,1,IF(F530&lt;=3,5,IF(F530&lt;=5,7,IF(F530&lt;=7,9,9))))</f>
      </c>
      <c r="L530" s="1">
        <f>IF(D530&gt;0,1/K530,I530)</f>
      </c>
      <c r="M530" s="1">
        <f>IF(D530&gt;0,1/J530,J530)</f>
      </c>
      <c r="N530" s="1">
        <f>IF(D530&gt;0,1/I530,K530)</f>
      </c>
    </row>
    <row r="531">
      <c r="A531">
        <v>19</v>
      </c>
      <c r="B531" t="str">
        <v>CP3</v>
      </c>
      <c r="C531" t="str">
        <v>CP7</v>
      </c>
      <c r="D531">
        <v>4</v>
      </c>
      <c r="E531">
        <v>4</v>
      </c>
      <c r="F531">
        <f>ABS(D531)+1</f>
      </c>
      <c r="G531" t="str">
        <v>→ CP7</v>
      </c>
      <c r="H531" t="str">
        <v>STRONG</v>
      </c>
      <c r="I531">
        <f>IF(F531=1,1,IF(F531&lt;=3,1,IF(F531&lt;=5,3,IF(F531&lt;=7,5,7))))</f>
      </c>
      <c r="J531">
        <f>IF(F531=1,1,IF(F531&lt;=3,3,IF(F531&lt;=5,5,IF(F531&lt;=7,7,9))))</f>
      </c>
      <c r="K531">
        <f>IF(F531=1,1,IF(F531&lt;=3,5,IF(F531&lt;=5,7,IF(F531&lt;=7,9,9))))</f>
      </c>
      <c r="L531" s="1">
        <f>IF(D531&gt;0,1/K531,I531)</f>
      </c>
      <c r="M531" s="1">
        <f>IF(D531&gt;0,1/J531,J531)</f>
      </c>
      <c r="N531" s="1">
        <f>IF(D531&gt;0,1/I531,K531)</f>
      </c>
    </row>
    <row r="532">
      <c r="A532">
        <v>20</v>
      </c>
      <c r="B532" t="str">
        <v>CP3</v>
      </c>
      <c r="C532" t="str">
        <v>CP8</v>
      </c>
      <c r="D532">
        <v>-4</v>
      </c>
      <c r="E532">
        <v>4</v>
      </c>
      <c r="F532">
        <f>ABS(D532)+1</f>
      </c>
      <c r="G532" t="str">
        <v>← CP3</v>
      </c>
      <c r="H532" t="str">
        <v>STRONG</v>
      </c>
      <c r="I532">
        <f>IF(F532=1,1,IF(F532&lt;=3,1,IF(F532&lt;=5,3,IF(F532&lt;=7,5,7))))</f>
      </c>
      <c r="J532">
        <f>IF(F532=1,1,IF(F532&lt;=3,3,IF(F532&lt;=5,5,IF(F532&lt;=7,7,9))))</f>
      </c>
      <c r="K532">
        <f>IF(F532=1,1,IF(F532&lt;=3,5,IF(F532&lt;=5,7,IF(F532&lt;=7,9,9))))</f>
      </c>
      <c r="L532" s="1">
        <f>IF(D532&gt;0,1/K532,I532)</f>
      </c>
      <c r="M532" s="1">
        <f>IF(D532&gt;0,1/J532,J532)</f>
      </c>
      <c r="N532" s="1">
        <f>IF(D532&gt;0,1/I532,K532)</f>
      </c>
    </row>
    <row r="533">
      <c r="A533">
        <v>21</v>
      </c>
      <c r="B533" t="str">
        <v>CP3</v>
      </c>
      <c r="C533" t="str">
        <v>CP9</v>
      </c>
      <c r="D533">
        <v>-6</v>
      </c>
      <c r="E533">
        <v>6</v>
      </c>
      <c r="F533">
        <f>ABS(D533)+1</f>
      </c>
      <c r="G533" t="str">
        <v>← CP3</v>
      </c>
      <c r="H533" t="str">
        <v>VERY_STRONG</v>
      </c>
      <c r="I533">
        <f>IF(F533=1,1,IF(F533&lt;=3,1,IF(F533&lt;=5,3,IF(F533&lt;=7,5,7))))</f>
      </c>
      <c r="J533">
        <f>IF(F533=1,1,IF(F533&lt;=3,3,IF(F533&lt;=5,5,IF(F533&lt;=7,7,9))))</f>
      </c>
      <c r="K533">
        <f>IF(F533=1,1,IF(F533&lt;=3,5,IF(F533&lt;=5,7,IF(F533&lt;=7,9,9))))</f>
      </c>
      <c r="L533" s="1">
        <f>IF(D533&gt;0,1/K533,I533)</f>
      </c>
      <c r="M533" s="1">
        <f>IF(D533&gt;0,1/J533,J533)</f>
      </c>
      <c r="N533" s="1">
        <f>IF(D533&gt;0,1/I533,K533)</f>
      </c>
    </row>
    <row r="534">
      <c r="A534">
        <v>22</v>
      </c>
      <c r="B534" t="str">
        <v>CP4</v>
      </c>
      <c r="C534" t="str">
        <v>CP5</v>
      </c>
      <c r="D534">
        <v>-6</v>
      </c>
      <c r="E534">
        <v>6</v>
      </c>
      <c r="F534">
        <f>ABS(D534)+1</f>
      </c>
      <c r="G534" t="str">
        <v>← CP4</v>
      </c>
      <c r="H534" t="str">
        <v>VERY_STRONG</v>
      </c>
      <c r="I534">
        <f>IF(F534=1,1,IF(F534&lt;=3,1,IF(F534&lt;=5,3,IF(F534&lt;=7,5,7))))</f>
      </c>
      <c r="J534">
        <f>IF(F534=1,1,IF(F534&lt;=3,3,IF(F534&lt;=5,5,IF(F534&lt;=7,7,9))))</f>
      </c>
      <c r="K534">
        <f>IF(F534=1,1,IF(F534&lt;=3,5,IF(F534&lt;=5,7,IF(F534&lt;=7,9,9))))</f>
      </c>
      <c r="L534" s="1">
        <f>IF(D534&gt;0,1/K534,I534)</f>
      </c>
      <c r="M534" s="1">
        <f>IF(D534&gt;0,1/J534,J534)</f>
      </c>
      <c r="N534" s="1">
        <f>IF(D534&gt;0,1/I534,K534)</f>
      </c>
    </row>
    <row r="535">
      <c r="A535">
        <v>23</v>
      </c>
      <c r="B535" t="str">
        <v>CP4</v>
      </c>
      <c r="C535" t="str">
        <v>CP6</v>
      </c>
      <c r="D535">
        <v>-5</v>
      </c>
      <c r="E535">
        <v>5</v>
      </c>
      <c r="F535">
        <f>ABS(D535)+1</f>
      </c>
      <c r="G535" t="str">
        <v>← CP4</v>
      </c>
      <c r="H535" t="str">
        <v>VERY_STRONG</v>
      </c>
      <c r="I535">
        <f>IF(F535=1,1,IF(F535&lt;=3,1,IF(F535&lt;=5,3,IF(F535&lt;=7,5,7))))</f>
      </c>
      <c r="J535">
        <f>IF(F535=1,1,IF(F535&lt;=3,3,IF(F535&lt;=5,5,IF(F535&lt;=7,7,9))))</f>
      </c>
      <c r="K535">
        <f>IF(F535=1,1,IF(F535&lt;=3,5,IF(F535&lt;=5,7,IF(F535&lt;=7,9,9))))</f>
      </c>
      <c r="L535" s="1">
        <f>IF(D535&gt;0,1/K535,I535)</f>
      </c>
      <c r="M535" s="1">
        <f>IF(D535&gt;0,1/J535,J535)</f>
      </c>
      <c r="N535" s="1">
        <f>IF(D535&gt;0,1/I535,K535)</f>
      </c>
    </row>
    <row r="536">
      <c r="A536">
        <v>24</v>
      </c>
      <c r="B536" t="str">
        <v>CP4</v>
      </c>
      <c r="C536" t="str">
        <v>CP7</v>
      </c>
      <c r="D536">
        <v>-5</v>
      </c>
      <c r="E536">
        <v>5</v>
      </c>
      <c r="F536">
        <f>ABS(D536)+1</f>
      </c>
      <c r="G536" t="str">
        <v>← CP4</v>
      </c>
      <c r="H536" t="str">
        <v>VERY_STRONG</v>
      </c>
      <c r="I536">
        <f>IF(F536=1,1,IF(F536&lt;=3,1,IF(F536&lt;=5,3,IF(F536&lt;=7,5,7))))</f>
      </c>
      <c r="J536">
        <f>IF(F536=1,1,IF(F536&lt;=3,3,IF(F536&lt;=5,5,IF(F536&lt;=7,7,9))))</f>
      </c>
      <c r="K536">
        <f>IF(F536=1,1,IF(F536&lt;=3,5,IF(F536&lt;=5,7,IF(F536&lt;=7,9,9))))</f>
      </c>
      <c r="L536" s="1">
        <f>IF(D536&gt;0,1/K536,I536)</f>
      </c>
      <c r="M536" s="1">
        <f>IF(D536&gt;0,1/J536,J536)</f>
      </c>
      <c r="N536" s="1">
        <f>IF(D536&gt;0,1/I536,K536)</f>
      </c>
    </row>
    <row r="537">
      <c r="A537">
        <v>25</v>
      </c>
      <c r="B537" t="str">
        <v>CP4</v>
      </c>
      <c r="C537" t="str">
        <v>CP8</v>
      </c>
      <c r="D537">
        <v>-5</v>
      </c>
      <c r="E537">
        <v>5</v>
      </c>
      <c r="F537">
        <f>ABS(D537)+1</f>
      </c>
      <c r="G537" t="str">
        <v>← CP4</v>
      </c>
      <c r="H537" t="str">
        <v>VERY_STRONG</v>
      </c>
      <c r="I537">
        <f>IF(F537=1,1,IF(F537&lt;=3,1,IF(F537&lt;=5,3,IF(F537&lt;=7,5,7))))</f>
      </c>
      <c r="J537">
        <f>IF(F537=1,1,IF(F537&lt;=3,3,IF(F537&lt;=5,5,IF(F537&lt;=7,7,9))))</f>
      </c>
      <c r="K537">
        <f>IF(F537=1,1,IF(F537&lt;=3,5,IF(F537&lt;=5,7,IF(F537&lt;=7,9,9))))</f>
      </c>
      <c r="L537" s="1">
        <f>IF(D537&gt;0,1/K537,I537)</f>
      </c>
      <c r="M537" s="1">
        <f>IF(D537&gt;0,1/J537,J537)</f>
      </c>
      <c r="N537" s="1">
        <f>IF(D537&gt;0,1/I537,K537)</f>
      </c>
    </row>
    <row r="538">
      <c r="A538">
        <v>26</v>
      </c>
      <c r="B538" t="str">
        <v>CP4</v>
      </c>
      <c r="C538" t="str">
        <v>CP9</v>
      </c>
      <c r="D538">
        <v>-6</v>
      </c>
      <c r="E538">
        <v>6</v>
      </c>
      <c r="F538">
        <f>ABS(D538)+1</f>
      </c>
      <c r="G538" t="str">
        <v>← CP4</v>
      </c>
      <c r="H538" t="str">
        <v>VERY_STRONG</v>
      </c>
      <c r="I538">
        <f>IF(F538=1,1,IF(F538&lt;=3,1,IF(F538&lt;=5,3,IF(F538&lt;=7,5,7))))</f>
      </c>
      <c r="J538">
        <f>IF(F538=1,1,IF(F538&lt;=3,3,IF(F538&lt;=5,5,IF(F538&lt;=7,7,9))))</f>
      </c>
      <c r="K538">
        <f>IF(F538=1,1,IF(F538&lt;=3,5,IF(F538&lt;=5,7,IF(F538&lt;=7,9,9))))</f>
      </c>
      <c r="L538" s="1">
        <f>IF(D538&gt;0,1/K538,I538)</f>
      </c>
      <c r="M538" s="1">
        <f>IF(D538&gt;0,1/J538,J538)</f>
      </c>
      <c r="N538" s="1">
        <f>IF(D538&gt;0,1/I538,K538)</f>
      </c>
    </row>
    <row r="539">
      <c r="A539">
        <v>27</v>
      </c>
      <c r="B539" t="str">
        <v>CP5</v>
      </c>
      <c r="C539" t="str">
        <v>CP6</v>
      </c>
      <c r="D539">
        <v>0</v>
      </c>
      <c r="E539">
        <v>0</v>
      </c>
      <c r="F539">
        <f>ABS(D539)+1</f>
      </c>
      <c r="G539" t="str">
        <v>= Sama</v>
      </c>
      <c r="H539" t="str">
        <v>EQUAL</v>
      </c>
      <c r="I539">
        <f>IF(F539=1,1,IF(F539&lt;=3,1,IF(F539&lt;=5,3,IF(F539&lt;=7,5,7))))</f>
      </c>
      <c r="J539">
        <f>IF(F539=1,1,IF(F539&lt;=3,3,IF(F539&lt;=5,5,IF(F539&lt;=7,7,9))))</f>
      </c>
      <c r="K539">
        <f>IF(F539=1,1,IF(F539&lt;=3,5,IF(F539&lt;=5,7,IF(F539&lt;=7,9,9))))</f>
      </c>
      <c r="L539" s="1">
        <f>IF(D539&gt;0,1/K539,I539)</f>
      </c>
      <c r="M539" s="1">
        <f>IF(D539&gt;0,1/J539,J539)</f>
      </c>
      <c r="N539" s="1">
        <f>IF(D539&gt;0,1/I539,K539)</f>
      </c>
    </row>
    <row r="540">
      <c r="A540">
        <v>28</v>
      </c>
      <c r="B540" t="str">
        <v>CP5</v>
      </c>
      <c r="C540" t="str">
        <v>CP7</v>
      </c>
      <c r="D540">
        <v>0</v>
      </c>
      <c r="E540">
        <v>0</v>
      </c>
      <c r="F540">
        <f>ABS(D540)+1</f>
      </c>
      <c r="G540" t="str">
        <v>= Sama</v>
      </c>
      <c r="H540" t="str">
        <v>EQUAL</v>
      </c>
      <c r="I540">
        <f>IF(F540=1,1,IF(F540&lt;=3,1,IF(F540&lt;=5,3,IF(F540&lt;=7,5,7))))</f>
      </c>
      <c r="J540">
        <f>IF(F540=1,1,IF(F540&lt;=3,3,IF(F540&lt;=5,5,IF(F540&lt;=7,7,9))))</f>
      </c>
      <c r="K540">
        <f>IF(F540=1,1,IF(F540&lt;=3,5,IF(F540&lt;=5,7,IF(F540&lt;=7,9,9))))</f>
      </c>
      <c r="L540" s="1">
        <f>IF(D540&gt;0,1/K540,I540)</f>
      </c>
      <c r="M540" s="1">
        <f>IF(D540&gt;0,1/J540,J540)</f>
      </c>
      <c r="N540" s="1">
        <f>IF(D540&gt;0,1/I540,K540)</f>
      </c>
    </row>
    <row r="541">
      <c r="A541">
        <v>29</v>
      </c>
      <c r="B541" t="str">
        <v>CP5</v>
      </c>
      <c r="C541" t="str">
        <v>CP8</v>
      </c>
      <c r="D541">
        <v>0</v>
      </c>
      <c r="E541">
        <v>0</v>
      </c>
      <c r="F541">
        <f>ABS(D541)+1</f>
      </c>
      <c r="G541" t="str">
        <v>= Sama</v>
      </c>
      <c r="H541" t="str">
        <v>EQUAL</v>
      </c>
      <c r="I541">
        <f>IF(F541=1,1,IF(F541&lt;=3,1,IF(F541&lt;=5,3,IF(F541&lt;=7,5,7))))</f>
      </c>
      <c r="J541">
        <f>IF(F541=1,1,IF(F541&lt;=3,3,IF(F541&lt;=5,5,IF(F541&lt;=7,7,9))))</f>
      </c>
      <c r="K541">
        <f>IF(F541=1,1,IF(F541&lt;=3,5,IF(F541&lt;=5,7,IF(F541&lt;=7,9,9))))</f>
      </c>
      <c r="L541" s="1">
        <f>IF(D541&gt;0,1/K541,I541)</f>
      </c>
      <c r="M541" s="1">
        <f>IF(D541&gt;0,1/J541,J541)</f>
      </c>
      <c r="N541" s="1">
        <f>IF(D541&gt;0,1/I541,K541)</f>
      </c>
    </row>
    <row r="542">
      <c r="A542">
        <v>30</v>
      </c>
      <c r="B542" t="str">
        <v>CP5</v>
      </c>
      <c r="C542" t="str">
        <v>CP9</v>
      </c>
      <c r="D542">
        <v>0</v>
      </c>
      <c r="E542">
        <v>0</v>
      </c>
      <c r="F542">
        <f>ABS(D542)+1</f>
      </c>
      <c r="G542" t="str">
        <v>= Sama</v>
      </c>
      <c r="H542" t="str">
        <v>EQUAL</v>
      </c>
      <c r="I542">
        <f>IF(F542=1,1,IF(F542&lt;=3,1,IF(F542&lt;=5,3,IF(F542&lt;=7,5,7))))</f>
      </c>
      <c r="J542">
        <f>IF(F542=1,1,IF(F542&lt;=3,3,IF(F542&lt;=5,5,IF(F542&lt;=7,7,9))))</f>
      </c>
      <c r="K542">
        <f>IF(F542=1,1,IF(F542&lt;=3,5,IF(F542&lt;=5,7,IF(F542&lt;=7,9,9))))</f>
      </c>
      <c r="L542" s="1">
        <f>IF(D542&gt;0,1/K542,I542)</f>
      </c>
      <c r="M542" s="1">
        <f>IF(D542&gt;0,1/J542,J542)</f>
      </c>
      <c r="N542" s="1">
        <f>IF(D542&gt;0,1/I542,K542)</f>
      </c>
    </row>
    <row r="543">
      <c r="A543">
        <v>31</v>
      </c>
      <c r="B543" t="str">
        <v>CP6</v>
      </c>
      <c r="C543" t="str">
        <v>CP7</v>
      </c>
      <c r="D543">
        <v>0</v>
      </c>
      <c r="E543">
        <v>0</v>
      </c>
      <c r="F543">
        <f>ABS(D543)+1</f>
      </c>
      <c r="G543" t="str">
        <v>= Sama</v>
      </c>
      <c r="H543" t="str">
        <v>EQUAL</v>
      </c>
      <c r="I543">
        <f>IF(F543=1,1,IF(F543&lt;=3,1,IF(F543&lt;=5,3,IF(F543&lt;=7,5,7))))</f>
      </c>
      <c r="J543">
        <f>IF(F543=1,1,IF(F543&lt;=3,3,IF(F543&lt;=5,5,IF(F543&lt;=7,7,9))))</f>
      </c>
      <c r="K543">
        <f>IF(F543=1,1,IF(F543&lt;=3,5,IF(F543&lt;=5,7,IF(F543&lt;=7,9,9))))</f>
      </c>
      <c r="L543" s="1">
        <f>IF(D543&gt;0,1/K543,I543)</f>
      </c>
      <c r="M543" s="1">
        <f>IF(D543&gt;0,1/J543,J543)</f>
      </c>
      <c r="N543" s="1">
        <f>IF(D543&gt;0,1/I543,K543)</f>
      </c>
    </row>
    <row r="544">
      <c r="A544">
        <v>32</v>
      </c>
      <c r="B544" t="str">
        <v>CP6</v>
      </c>
      <c r="C544" t="str">
        <v>CP8</v>
      </c>
      <c r="D544">
        <v>0</v>
      </c>
      <c r="E544">
        <v>0</v>
      </c>
      <c r="F544">
        <f>ABS(D544)+1</f>
      </c>
      <c r="G544" t="str">
        <v>= Sama</v>
      </c>
      <c r="H544" t="str">
        <v>EQUAL</v>
      </c>
      <c r="I544">
        <f>IF(F544=1,1,IF(F544&lt;=3,1,IF(F544&lt;=5,3,IF(F544&lt;=7,5,7))))</f>
      </c>
      <c r="J544">
        <f>IF(F544=1,1,IF(F544&lt;=3,3,IF(F544&lt;=5,5,IF(F544&lt;=7,7,9))))</f>
      </c>
      <c r="K544">
        <f>IF(F544=1,1,IF(F544&lt;=3,5,IF(F544&lt;=5,7,IF(F544&lt;=7,9,9))))</f>
      </c>
      <c r="L544" s="1">
        <f>IF(D544&gt;0,1/K544,I544)</f>
      </c>
      <c r="M544" s="1">
        <f>IF(D544&gt;0,1/J544,J544)</f>
      </c>
      <c r="N544" s="1">
        <f>IF(D544&gt;0,1/I544,K544)</f>
      </c>
    </row>
    <row r="545">
      <c r="A545">
        <v>33</v>
      </c>
      <c r="B545" t="str">
        <v>CP6</v>
      </c>
      <c r="C545" t="str">
        <v>CP9</v>
      </c>
      <c r="D545">
        <v>0</v>
      </c>
      <c r="E545">
        <v>0</v>
      </c>
      <c r="F545">
        <f>ABS(D545)+1</f>
      </c>
      <c r="G545" t="str">
        <v>= Sama</v>
      </c>
      <c r="H545" t="str">
        <v>EQUAL</v>
      </c>
      <c r="I545">
        <f>IF(F545=1,1,IF(F545&lt;=3,1,IF(F545&lt;=5,3,IF(F545&lt;=7,5,7))))</f>
      </c>
      <c r="J545">
        <f>IF(F545=1,1,IF(F545&lt;=3,3,IF(F545&lt;=5,5,IF(F545&lt;=7,7,9))))</f>
      </c>
      <c r="K545">
        <f>IF(F545=1,1,IF(F545&lt;=3,5,IF(F545&lt;=5,7,IF(F545&lt;=7,9,9))))</f>
      </c>
      <c r="L545" s="1">
        <f>IF(D545&gt;0,1/K545,I545)</f>
      </c>
      <c r="M545" s="1">
        <f>IF(D545&gt;0,1/J545,J545)</f>
      </c>
      <c r="N545" s="1">
        <f>IF(D545&gt;0,1/I545,K545)</f>
      </c>
    </row>
    <row r="546">
      <c r="A546">
        <v>34</v>
      </c>
      <c r="B546" t="str">
        <v>CP7</v>
      </c>
      <c r="C546" t="str">
        <v>CP8</v>
      </c>
      <c r="D546">
        <v>0</v>
      </c>
      <c r="E546">
        <v>0</v>
      </c>
      <c r="F546">
        <f>ABS(D546)+1</f>
      </c>
      <c r="G546" t="str">
        <v>= Sama</v>
      </c>
      <c r="H546" t="str">
        <v>EQUAL</v>
      </c>
      <c r="I546">
        <f>IF(F546=1,1,IF(F546&lt;=3,1,IF(F546&lt;=5,3,IF(F546&lt;=7,5,7))))</f>
      </c>
      <c r="J546">
        <f>IF(F546=1,1,IF(F546&lt;=3,3,IF(F546&lt;=5,5,IF(F546&lt;=7,7,9))))</f>
      </c>
      <c r="K546">
        <f>IF(F546=1,1,IF(F546&lt;=3,5,IF(F546&lt;=5,7,IF(F546&lt;=7,9,9))))</f>
      </c>
      <c r="L546" s="1">
        <f>IF(D546&gt;0,1/K546,I546)</f>
      </c>
      <c r="M546" s="1">
        <f>IF(D546&gt;0,1/J546,J546)</f>
      </c>
      <c r="N546" s="1">
        <f>IF(D546&gt;0,1/I546,K546)</f>
      </c>
    </row>
    <row r="547">
      <c r="A547">
        <v>35</v>
      </c>
      <c r="B547" t="str">
        <v>CP7</v>
      </c>
      <c r="C547" t="str">
        <v>CP9</v>
      </c>
      <c r="D547">
        <v>0</v>
      </c>
      <c r="E547">
        <v>0</v>
      </c>
      <c r="F547">
        <f>ABS(D547)+1</f>
      </c>
      <c r="G547" t="str">
        <v>= Sama</v>
      </c>
      <c r="H547" t="str">
        <v>EQUAL</v>
      </c>
      <c r="I547">
        <f>IF(F547=1,1,IF(F547&lt;=3,1,IF(F547&lt;=5,3,IF(F547&lt;=7,5,7))))</f>
      </c>
      <c r="J547">
        <f>IF(F547=1,1,IF(F547&lt;=3,3,IF(F547&lt;=5,5,IF(F547&lt;=7,7,9))))</f>
      </c>
      <c r="K547">
        <f>IF(F547=1,1,IF(F547&lt;=3,5,IF(F547&lt;=5,7,IF(F547&lt;=7,9,9))))</f>
      </c>
      <c r="L547" s="1">
        <f>IF(D547&gt;0,1/K547,I547)</f>
      </c>
      <c r="M547" s="1">
        <f>IF(D547&gt;0,1/J547,J547)</f>
      </c>
      <c r="N547" s="1">
        <f>IF(D547&gt;0,1/I547,K547)</f>
      </c>
    </row>
    <row r="548">
      <c r="A548">
        <v>36</v>
      </c>
      <c r="B548" t="str">
        <v>CP8</v>
      </c>
      <c r="C548" t="str">
        <v>CP9</v>
      </c>
      <c r="D548">
        <v>0</v>
      </c>
      <c r="E548">
        <v>0</v>
      </c>
      <c r="F548">
        <f>ABS(D548)+1</f>
      </c>
      <c r="G548" t="str">
        <v>= Sama</v>
      </c>
      <c r="H548" t="str">
        <v>EQUAL</v>
      </c>
      <c r="I548">
        <f>IF(F548=1,1,IF(F548&lt;=3,1,IF(F548&lt;=5,3,IF(F548&lt;=7,5,7))))</f>
      </c>
      <c r="J548">
        <f>IF(F548=1,1,IF(F548&lt;=3,3,IF(F548&lt;=5,5,IF(F548&lt;=7,7,9))))</f>
      </c>
      <c r="K548">
        <f>IF(F548=1,1,IF(F548&lt;=3,5,IF(F548&lt;=5,7,IF(F548&lt;=7,9,9))))</f>
      </c>
      <c r="L548" s="1">
        <f>IF(D548&gt;0,1/K548,I548)</f>
      </c>
      <c r="M548" s="1">
        <f>IF(D548&gt;0,1/J548,J548)</f>
      </c>
      <c r="N548" s="1">
        <f>IF(D548&gt;0,1/I548,K548)</f>
      </c>
    </row>
    <row r="551">
      <c r="A551" t="str">
        <v>═══ RESPONDEN 14: Novriati Teza ═══</v>
      </c>
    </row>
    <row r="552">
      <c r="A552" t="str">
        <v>Jabatan: Pengawas Mutu Hasil Pertanian Ahli Muda | Instansi: DPKH</v>
      </c>
    </row>
    <row r="553">
      <c r="A553" t="str">
        <v>No</v>
      </c>
      <c r="B553" t="str">
        <v>Krit. A</v>
      </c>
      <c r="C553" t="str">
        <v>Krit. B</v>
      </c>
      <c r="D553" t="str">
        <v>Slider</v>
      </c>
      <c r="E553" t="str">
        <v>|Slider|</v>
      </c>
      <c r="F553" t="str">
        <v>absVal</v>
      </c>
      <c r="G553" t="str">
        <v>Arah</v>
      </c>
      <c r="H553" t="str">
        <v>Fuzzy</v>
      </c>
      <c r="I553" t="str">
        <v>l_orig</v>
      </c>
      <c r="J553" t="str">
        <v>m_orig</v>
      </c>
      <c r="K553" t="str">
        <v>u_orig</v>
      </c>
      <c r="L553" t="str">
        <v>TFN_l</v>
      </c>
      <c r="M553" t="str">
        <v>TFN_m</v>
      </c>
      <c r="N553" t="str">
        <v>TFN_u</v>
      </c>
    </row>
    <row r="554">
      <c r="A554">
        <v>1</v>
      </c>
      <c r="B554" t="str">
        <v>CP1</v>
      </c>
      <c r="C554" t="str">
        <v>CP2</v>
      </c>
      <c r="D554">
        <v>-4</v>
      </c>
      <c r="E554">
        <v>4</v>
      </c>
      <c r="F554">
        <f>ABS(D554)+1</f>
      </c>
      <c r="G554" t="str">
        <v>← CP1</v>
      </c>
      <c r="H554" t="str">
        <v>STRONG</v>
      </c>
      <c r="I554">
        <f>IF(F554=1,1,IF(F554&lt;=3,1,IF(F554&lt;=5,3,IF(F554&lt;=7,5,7))))</f>
      </c>
      <c r="J554">
        <f>IF(F554=1,1,IF(F554&lt;=3,3,IF(F554&lt;=5,5,IF(F554&lt;=7,7,9))))</f>
      </c>
      <c r="K554">
        <f>IF(F554=1,1,IF(F554&lt;=3,5,IF(F554&lt;=5,7,IF(F554&lt;=7,9,9))))</f>
      </c>
      <c r="L554" s="1">
        <f>IF(D554&gt;0,1/K554,I554)</f>
      </c>
      <c r="M554" s="1">
        <f>IF(D554&gt;0,1/J554,J554)</f>
      </c>
      <c r="N554" s="1">
        <f>IF(D554&gt;0,1/I554,K554)</f>
      </c>
    </row>
    <row r="555">
      <c r="A555">
        <v>2</v>
      </c>
      <c r="B555" t="str">
        <v>CP1</v>
      </c>
      <c r="C555" t="str">
        <v>CP3</v>
      </c>
      <c r="D555">
        <v>-2</v>
      </c>
      <c r="E555">
        <v>2</v>
      </c>
      <c r="F555">
        <f>ABS(D555)+1</f>
      </c>
      <c r="G555" t="str">
        <v>← CP1</v>
      </c>
      <c r="H555" t="str">
        <v>MODERATE</v>
      </c>
      <c r="I555">
        <f>IF(F555=1,1,IF(F555&lt;=3,1,IF(F555&lt;=5,3,IF(F555&lt;=7,5,7))))</f>
      </c>
      <c r="J555">
        <f>IF(F555=1,1,IF(F555&lt;=3,3,IF(F555&lt;=5,5,IF(F555&lt;=7,7,9))))</f>
      </c>
      <c r="K555">
        <f>IF(F555=1,1,IF(F555&lt;=3,5,IF(F555&lt;=5,7,IF(F555&lt;=7,9,9))))</f>
      </c>
      <c r="L555" s="1">
        <f>IF(D555&gt;0,1/K555,I555)</f>
      </c>
      <c r="M555" s="1">
        <f>IF(D555&gt;0,1/J555,J555)</f>
      </c>
      <c r="N555" s="1">
        <f>IF(D555&gt;0,1/I555,K555)</f>
      </c>
    </row>
    <row r="556">
      <c r="A556">
        <v>3</v>
      </c>
      <c r="B556" t="str">
        <v>CP1</v>
      </c>
      <c r="C556" t="str">
        <v>CP4</v>
      </c>
      <c r="D556">
        <v>-3</v>
      </c>
      <c r="E556">
        <v>3</v>
      </c>
      <c r="F556">
        <f>ABS(D556)+1</f>
      </c>
      <c r="G556" t="str">
        <v>← CP1</v>
      </c>
      <c r="H556" t="str">
        <v>STRONG</v>
      </c>
      <c r="I556">
        <f>IF(F556=1,1,IF(F556&lt;=3,1,IF(F556&lt;=5,3,IF(F556&lt;=7,5,7))))</f>
      </c>
      <c r="J556">
        <f>IF(F556=1,1,IF(F556&lt;=3,3,IF(F556&lt;=5,5,IF(F556&lt;=7,7,9))))</f>
      </c>
      <c r="K556">
        <f>IF(F556=1,1,IF(F556&lt;=3,5,IF(F556&lt;=5,7,IF(F556&lt;=7,9,9))))</f>
      </c>
      <c r="L556" s="1">
        <f>IF(D556&gt;0,1/K556,I556)</f>
      </c>
      <c r="M556" s="1">
        <f>IF(D556&gt;0,1/J556,J556)</f>
      </c>
      <c r="N556" s="1">
        <f>IF(D556&gt;0,1/I556,K556)</f>
      </c>
    </row>
    <row r="557">
      <c r="A557">
        <v>4</v>
      </c>
      <c r="B557" t="str">
        <v>CP1</v>
      </c>
      <c r="C557" t="str">
        <v>CP5</v>
      </c>
      <c r="D557">
        <v>-3</v>
      </c>
      <c r="E557">
        <v>3</v>
      </c>
      <c r="F557">
        <f>ABS(D557)+1</f>
      </c>
      <c r="G557" t="str">
        <v>← CP1</v>
      </c>
      <c r="H557" t="str">
        <v>STRONG</v>
      </c>
      <c r="I557">
        <f>IF(F557=1,1,IF(F557&lt;=3,1,IF(F557&lt;=5,3,IF(F557&lt;=7,5,7))))</f>
      </c>
      <c r="J557">
        <f>IF(F557=1,1,IF(F557&lt;=3,3,IF(F557&lt;=5,5,IF(F557&lt;=7,7,9))))</f>
      </c>
      <c r="K557">
        <f>IF(F557=1,1,IF(F557&lt;=3,5,IF(F557&lt;=5,7,IF(F557&lt;=7,9,9))))</f>
      </c>
      <c r="L557" s="1">
        <f>IF(D557&gt;0,1/K557,I557)</f>
      </c>
      <c r="M557" s="1">
        <f>IF(D557&gt;0,1/J557,J557)</f>
      </c>
      <c r="N557" s="1">
        <f>IF(D557&gt;0,1/I557,K557)</f>
      </c>
    </row>
    <row r="558">
      <c r="A558">
        <v>5</v>
      </c>
      <c r="B558" t="str">
        <v>CP1</v>
      </c>
      <c r="C558" t="str">
        <v>CP6</v>
      </c>
      <c r="D558">
        <v>4</v>
      </c>
      <c r="E558">
        <v>4</v>
      </c>
      <c r="F558">
        <f>ABS(D558)+1</f>
      </c>
      <c r="G558" t="str">
        <v>→ CP6</v>
      </c>
      <c r="H558" t="str">
        <v>STRONG</v>
      </c>
      <c r="I558">
        <f>IF(F558=1,1,IF(F558&lt;=3,1,IF(F558&lt;=5,3,IF(F558&lt;=7,5,7))))</f>
      </c>
      <c r="J558">
        <f>IF(F558=1,1,IF(F558&lt;=3,3,IF(F558&lt;=5,5,IF(F558&lt;=7,7,9))))</f>
      </c>
      <c r="K558">
        <f>IF(F558=1,1,IF(F558&lt;=3,5,IF(F558&lt;=5,7,IF(F558&lt;=7,9,9))))</f>
      </c>
      <c r="L558" s="1">
        <f>IF(D558&gt;0,1/K558,I558)</f>
      </c>
      <c r="M558" s="1">
        <f>IF(D558&gt;0,1/J558,J558)</f>
      </c>
      <c r="N558" s="1">
        <f>IF(D558&gt;0,1/I558,K558)</f>
      </c>
    </row>
    <row r="559">
      <c r="A559">
        <v>6</v>
      </c>
      <c r="B559" t="str">
        <v>CP1</v>
      </c>
      <c r="C559" t="str">
        <v>CP7</v>
      </c>
      <c r="D559">
        <v>-3</v>
      </c>
      <c r="E559">
        <v>3</v>
      </c>
      <c r="F559">
        <f>ABS(D559)+1</f>
      </c>
      <c r="G559" t="str">
        <v>← CP1</v>
      </c>
      <c r="H559" t="str">
        <v>STRONG</v>
      </c>
      <c r="I559">
        <f>IF(F559=1,1,IF(F559&lt;=3,1,IF(F559&lt;=5,3,IF(F559&lt;=7,5,7))))</f>
      </c>
      <c r="J559">
        <f>IF(F559=1,1,IF(F559&lt;=3,3,IF(F559&lt;=5,5,IF(F559&lt;=7,7,9))))</f>
      </c>
      <c r="K559">
        <f>IF(F559=1,1,IF(F559&lt;=3,5,IF(F559&lt;=5,7,IF(F559&lt;=7,9,9))))</f>
      </c>
      <c r="L559" s="1">
        <f>IF(D559&gt;0,1/K559,I559)</f>
      </c>
      <c r="M559" s="1">
        <f>IF(D559&gt;0,1/J559,J559)</f>
      </c>
      <c r="N559" s="1">
        <f>IF(D559&gt;0,1/I559,K559)</f>
      </c>
    </row>
    <row r="560">
      <c r="A560">
        <v>7</v>
      </c>
      <c r="B560" t="str">
        <v>CP1</v>
      </c>
      <c r="C560" t="str">
        <v>CP8</v>
      </c>
      <c r="D560">
        <v>-4</v>
      </c>
      <c r="E560">
        <v>4</v>
      </c>
      <c r="F560">
        <f>ABS(D560)+1</f>
      </c>
      <c r="G560" t="str">
        <v>← CP1</v>
      </c>
      <c r="H560" t="str">
        <v>STRONG</v>
      </c>
      <c r="I560">
        <f>IF(F560=1,1,IF(F560&lt;=3,1,IF(F560&lt;=5,3,IF(F560&lt;=7,5,7))))</f>
      </c>
      <c r="J560">
        <f>IF(F560=1,1,IF(F560&lt;=3,3,IF(F560&lt;=5,5,IF(F560&lt;=7,7,9))))</f>
      </c>
      <c r="K560">
        <f>IF(F560=1,1,IF(F560&lt;=3,5,IF(F560&lt;=5,7,IF(F560&lt;=7,9,9))))</f>
      </c>
      <c r="L560" s="1">
        <f>IF(D560&gt;0,1/K560,I560)</f>
      </c>
      <c r="M560" s="1">
        <f>IF(D560&gt;0,1/J560,J560)</f>
      </c>
      <c r="N560" s="1">
        <f>IF(D560&gt;0,1/I560,K560)</f>
      </c>
    </row>
    <row r="561">
      <c r="A561">
        <v>8</v>
      </c>
      <c r="B561" t="str">
        <v>CP1</v>
      </c>
      <c r="C561" t="str">
        <v>CP9</v>
      </c>
      <c r="D561">
        <v>5</v>
      </c>
      <c r="E561">
        <v>5</v>
      </c>
      <c r="F561">
        <f>ABS(D561)+1</f>
      </c>
      <c r="G561" t="str">
        <v>→ CP9</v>
      </c>
      <c r="H561" t="str">
        <v>VERY_STRONG</v>
      </c>
      <c r="I561">
        <f>IF(F561=1,1,IF(F561&lt;=3,1,IF(F561&lt;=5,3,IF(F561&lt;=7,5,7))))</f>
      </c>
      <c r="J561">
        <f>IF(F561=1,1,IF(F561&lt;=3,3,IF(F561&lt;=5,5,IF(F561&lt;=7,7,9))))</f>
      </c>
      <c r="K561">
        <f>IF(F561=1,1,IF(F561&lt;=3,5,IF(F561&lt;=5,7,IF(F561&lt;=7,9,9))))</f>
      </c>
      <c r="L561" s="1">
        <f>IF(D561&gt;0,1/K561,I561)</f>
      </c>
      <c r="M561" s="1">
        <f>IF(D561&gt;0,1/J561,J561)</f>
      </c>
      <c r="N561" s="1">
        <f>IF(D561&gt;0,1/I561,K561)</f>
      </c>
    </row>
    <row r="562">
      <c r="A562">
        <v>9</v>
      </c>
      <c r="B562" t="str">
        <v>CP2</v>
      </c>
      <c r="C562" t="str">
        <v>CP3</v>
      </c>
      <c r="D562">
        <v>-5</v>
      </c>
      <c r="E562">
        <v>5</v>
      </c>
      <c r="F562">
        <f>ABS(D562)+1</f>
      </c>
      <c r="G562" t="str">
        <v>← CP2</v>
      </c>
      <c r="H562" t="str">
        <v>VERY_STRONG</v>
      </c>
      <c r="I562">
        <f>IF(F562=1,1,IF(F562&lt;=3,1,IF(F562&lt;=5,3,IF(F562&lt;=7,5,7))))</f>
      </c>
      <c r="J562">
        <f>IF(F562=1,1,IF(F562&lt;=3,3,IF(F562&lt;=5,5,IF(F562&lt;=7,7,9))))</f>
      </c>
      <c r="K562">
        <f>IF(F562=1,1,IF(F562&lt;=3,5,IF(F562&lt;=5,7,IF(F562&lt;=7,9,9))))</f>
      </c>
      <c r="L562" s="1">
        <f>IF(D562&gt;0,1/K562,I562)</f>
      </c>
      <c r="M562" s="1">
        <f>IF(D562&gt;0,1/J562,J562)</f>
      </c>
      <c r="N562" s="1">
        <f>IF(D562&gt;0,1/I562,K562)</f>
      </c>
    </row>
    <row r="563">
      <c r="A563">
        <v>10</v>
      </c>
      <c r="B563" t="str">
        <v>CP2</v>
      </c>
      <c r="C563" t="str">
        <v>CP4</v>
      </c>
      <c r="D563">
        <v>-4</v>
      </c>
      <c r="E563">
        <v>4</v>
      </c>
      <c r="F563">
        <f>ABS(D563)+1</f>
      </c>
      <c r="G563" t="str">
        <v>← CP2</v>
      </c>
      <c r="H563" t="str">
        <v>STRONG</v>
      </c>
      <c r="I563">
        <f>IF(F563=1,1,IF(F563&lt;=3,1,IF(F563&lt;=5,3,IF(F563&lt;=7,5,7))))</f>
      </c>
      <c r="J563">
        <f>IF(F563=1,1,IF(F563&lt;=3,3,IF(F563&lt;=5,5,IF(F563&lt;=7,7,9))))</f>
      </c>
      <c r="K563">
        <f>IF(F563=1,1,IF(F563&lt;=3,5,IF(F563&lt;=5,7,IF(F563&lt;=7,9,9))))</f>
      </c>
      <c r="L563" s="1">
        <f>IF(D563&gt;0,1/K563,I563)</f>
      </c>
      <c r="M563" s="1">
        <f>IF(D563&gt;0,1/J563,J563)</f>
      </c>
      <c r="N563" s="1">
        <f>IF(D563&gt;0,1/I563,K563)</f>
      </c>
    </row>
    <row r="564">
      <c r="A564">
        <v>11</v>
      </c>
      <c r="B564" t="str">
        <v>CP2</v>
      </c>
      <c r="C564" t="str">
        <v>CP5</v>
      </c>
      <c r="D564">
        <v>-5</v>
      </c>
      <c r="E564">
        <v>5</v>
      </c>
      <c r="F564">
        <f>ABS(D564)+1</f>
      </c>
      <c r="G564" t="str">
        <v>← CP2</v>
      </c>
      <c r="H564" t="str">
        <v>VERY_STRONG</v>
      </c>
      <c r="I564">
        <f>IF(F564=1,1,IF(F564&lt;=3,1,IF(F564&lt;=5,3,IF(F564&lt;=7,5,7))))</f>
      </c>
      <c r="J564">
        <f>IF(F564=1,1,IF(F564&lt;=3,3,IF(F564&lt;=5,5,IF(F564&lt;=7,7,9))))</f>
      </c>
      <c r="K564">
        <f>IF(F564=1,1,IF(F564&lt;=3,5,IF(F564&lt;=5,7,IF(F564&lt;=7,9,9))))</f>
      </c>
      <c r="L564" s="1">
        <f>IF(D564&gt;0,1/K564,I564)</f>
      </c>
      <c r="M564" s="1">
        <f>IF(D564&gt;0,1/J564,J564)</f>
      </c>
      <c r="N564" s="1">
        <f>IF(D564&gt;0,1/I564,K564)</f>
      </c>
    </row>
    <row r="565">
      <c r="A565">
        <v>12</v>
      </c>
      <c r="B565" t="str">
        <v>CP2</v>
      </c>
      <c r="C565" t="str">
        <v>CP6</v>
      </c>
      <c r="D565">
        <v>-5</v>
      </c>
      <c r="E565">
        <v>5</v>
      </c>
      <c r="F565">
        <f>ABS(D565)+1</f>
      </c>
      <c r="G565" t="str">
        <v>← CP2</v>
      </c>
      <c r="H565" t="str">
        <v>VERY_STRONG</v>
      </c>
      <c r="I565">
        <f>IF(F565=1,1,IF(F565&lt;=3,1,IF(F565&lt;=5,3,IF(F565&lt;=7,5,7))))</f>
      </c>
      <c r="J565">
        <f>IF(F565=1,1,IF(F565&lt;=3,3,IF(F565&lt;=5,5,IF(F565&lt;=7,7,9))))</f>
      </c>
      <c r="K565">
        <f>IF(F565=1,1,IF(F565&lt;=3,5,IF(F565&lt;=5,7,IF(F565&lt;=7,9,9))))</f>
      </c>
      <c r="L565" s="1">
        <f>IF(D565&gt;0,1/K565,I565)</f>
      </c>
      <c r="M565" s="1">
        <f>IF(D565&gt;0,1/J565,J565)</f>
      </c>
      <c r="N565" s="1">
        <f>IF(D565&gt;0,1/I565,K565)</f>
      </c>
    </row>
    <row r="566">
      <c r="A566">
        <v>13</v>
      </c>
      <c r="B566" t="str">
        <v>CP2</v>
      </c>
      <c r="C566" t="str">
        <v>CP7</v>
      </c>
      <c r="D566">
        <v>-5</v>
      </c>
      <c r="E566">
        <v>5</v>
      </c>
      <c r="F566">
        <f>ABS(D566)+1</f>
      </c>
      <c r="G566" t="str">
        <v>← CP2</v>
      </c>
      <c r="H566" t="str">
        <v>VERY_STRONG</v>
      </c>
      <c r="I566">
        <f>IF(F566=1,1,IF(F566&lt;=3,1,IF(F566&lt;=5,3,IF(F566&lt;=7,5,7))))</f>
      </c>
      <c r="J566">
        <f>IF(F566=1,1,IF(F566&lt;=3,3,IF(F566&lt;=5,5,IF(F566&lt;=7,7,9))))</f>
      </c>
      <c r="K566">
        <f>IF(F566=1,1,IF(F566&lt;=3,5,IF(F566&lt;=5,7,IF(F566&lt;=7,9,9))))</f>
      </c>
      <c r="L566" s="1">
        <f>IF(D566&gt;0,1/K566,I566)</f>
      </c>
      <c r="M566" s="1">
        <f>IF(D566&gt;0,1/J566,J566)</f>
      </c>
      <c r="N566" s="1">
        <f>IF(D566&gt;0,1/I566,K566)</f>
      </c>
    </row>
    <row r="567">
      <c r="A567">
        <v>14</v>
      </c>
      <c r="B567" t="str">
        <v>CP2</v>
      </c>
      <c r="C567" t="str">
        <v>CP8</v>
      </c>
      <c r="D567">
        <v>-4</v>
      </c>
      <c r="E567">
        <v>4</v>
      </c>
      <c r="F567">
        <f>ABS(D567)+1</f>
      </c>
      <c r="G567" t="str">
        <v>← CP2</v>
      </c>
      <c r="H567" t="str">
        <v>STRONG</v>
      </c>
      <c r="I567">
        <f>IF(F567=1,1,IF(F567&lt;=3,1,IF(F567&lt;=5,3,IF(F567&lt;=7,5,7))))</f>
      </c>
      <c r="J567">
        <f>IF(F567=1,1,IF(F567&lt;=3,3,IF(F567&lt;=5,5,IF(F567&lt;=7,7,9))))</f>
      </c>
      <c r="K567">
        <f>IF(F567=1,1,IF(F567&lt;=3,5,IF(F567&lt;=5,7,IF(F567&lt;=7,9,9))))</f>
      </c>
      <c r="L567" s="1">
        <f>IF(D567&gt;0,1/K567,I567)</f>
      </c>
      <c r="M567" s="1">
        <f>IF(D567&gt;0,1/J567,J567)</f>
      </c>
      <c r="N567" s="1">
        <f>IF(D567&gt;0,1/I567,K567)</f>
      </c>
    </row>
    <row r="568">
      <c r="A568">
        <v>15</v>
      </c>
      <c r="B568" t="str">
        <v>CP2</v>
      </c>
      <c r="C568" t="str">
        <v>CP9</v>
      </c>
      <c r="D568">
        <v>-4</v>
      </c>
      <c r="E568">
        <v>4</v>
      </c>
      <c r="F568">
        <f>ABS(D568)+1</f>
      </c>
      <c r="G568" t="str">
        <v>← CP2</v>
      </c>
      <c r="H568" t="str">
        <v>STRONG</v>
      </c>
      <c r="I568">
        <f>IF(F568=1,1,IF(F568&lt;=3,1,IF(F568&lt;=5,3,IF(F568&lt;=7,5,7))))</f>
      </c>
      <c r="J568">
        <f>IF(F568=1,1,IF(F568&lt;=3,3,IF(F568&lt;=5,5,IF(F568&lt;=7,7,9))))</f>
      </c>
      <c r="K568">
        <f>IF(F568=1,1,IF(F568&lt;=3,5,IF(F568&lt;=5,7,IF(F568&lt;=7,9,9))))</f>
      </c>
      <c r="L568" s="1">
        <f>IF(D568&gt;0,1/K568,I568)</f>
      </c>
      <c r="M568" s="1">
        <f>IF(D568&gt;0,1/J568,J568)</f>
      </c>
      <c r="N568" s="1">
        <f>IF(D568&gt;0,1/I568,K568)</f>
      </c>
    </row>
    <row r="569">
      <c r="A569">
        <v>16</v>
      </c>
      <c r="B569" t="str">
        <v>CP3</v>
      </c>
      <c r="C569" t="str">
        <v>CP4</v>
      </c>
      <c r="D569">
        <v>4</v>
      </c>
      <c r="E569">
        <v>4</v>
      </c>
      <c r="F569">
        <f>ABS(D569)+1</f>
      </c>
      <c r="G569" t="str">
        <v>→ CP4</v>
      </c>
      <c r="H569" t="str">
        <v>STRONG</v>
      </c>
      <c r="I569">
        <f>IF(F569=1,1,IF(F569&lt;=3,1,IF(F569&lt;=5,3,IF(F569&lt;=7,5,7))))</f>
      </c>
      <c r="J569">
        <f>IF(F569=1,1,IF(F569&lt;=3,3,IF(F569&lt;=5,5,IF(F569&lt;=7,7,9))))</f>
      </c>
      <c r="K569">
        <f>IF(F569=1,1,IF(F569&lt;=3,5,IF(F569&lt;=5,7,IF(F569&lt;=7,9,9))))</f>
      </c>
      <c r="L569" s="1">
        <f>IF(D569&gt;0,1/K569,I569)</f>
      </c>
      <c r="M569" s="1">
        <f>IF(D569&gt;0,1/J569,J569)</f>
      </c>
      <c r="N569" s="1">
        <f>IF(D569&gt;0,1/I569,K569)</f>
      </c>
    </row>
    <row r="570">
      <c r="A570">
        <v>17</v>
      </c>
      <c r="B570" t="str">
        <v>CP3</v>
      </c>
      <c r="C570" t="str">
        <v>CP5</v>
      </c>
      <c r="D570">
        <v>4</v>
      </c>
      <c r="E570">
        <v>4</v>
      </c>
      <c r="F570">
        <f>ABS(D570)+1</f>
      </c>
      <c r="G570" t="str">
        <v>→ CP5</v>
      </c>
      <c r="H570" t="str">
        <v>STRONG</v>
      </c>
      <c r="I570">
        <f>IF(F570=1,1,IF(F570&lt;=3,1,IF(F570&lt;=5,3,IF(F570&lt;=7,5,7))))</f>
      </c>
      <c r="J570">
        <f>IF(F570=1,1,IF(F570&lt;=3,3,IF(F570&lt;=5,5,IF(F570&lt;=7,7,9))))</f>
      </c>
      <c r="K570">
        <f>IF(F570=1,1,IF(F570&lt;=3,5,IF(F570&lt;=5,7,IF(F570&lt;=7,9,9))))</f>
      </c>
      <c r="L570" s="1">
        <f>IF(D570&gt;0,1/K570,I570)</f>
      </c>
      <c r="M570" s="1">
        <f>IF(D570&gt;0,1/J570,J570)</f>
      </c>
      <c r="N570" s="1">
        <f>IF(D570&gt;0,1/I570,K570)</f>
      </c>
    </row>
    <row r="571">
      <c r="A571">
        <v>18</v>
      </c>
      <c r="B571" t="str">
        <v>CP3</v>
      </c>
      <c r="C571" t="str">
        <v>CP6</v>
      </c>
      <c r="D571">
        <v>4</v>
      </c>
      <c r="E571">
        <v>4</v>
      </c>
      <c r="F571">
        <f>ABS(D571)+1</f>
      </c>
      <c r="G571" t="str">
        <v>→ CP6</v>
      </c>
      <c r="H571" t="str">
        <v>STRONG</v>
      </c>
      <c r="I571">
        <f>IF(F571=1,1,IF(F571&lt;=3,1,IF(F571&lt;=5,3,IF(F571&lt;=7,5,7))))</f>
      </c>
      <c r="J571">
        <f>IF(F571=1,1,IF(F571&lt;=3,3,IF(F571&lt;=5,5,IF(F571&lt;=7,7,9))))</f>
      </c>
      <c r="K571">
        <f>IF(F571=1,1,IF(F571&lt;=3,5,IF(F571&lt;=5,7,IF(F571&lt;=7,9,9))))</f>
      </c>
      <c r="L571" s="1">
        <f>IF(D571&gt;0,1/K571,I571)</f>
      </c>
      <c r="M571" s="1">
        <f>IF(D571&gt;0,1/J571,J571)</f>
      </c>
      <c r="N571" s="1">
        <f>IF(D571&gt;0,1/I571,K571)</f>
      </c>
    </row>
    <row r="572">
      <c r="A572">
        <v>19</v>
      </c>
      <c r="B572" t="str">
        <v>CP3</v>
      </c>
      <c r="C572" t="str">
        <v>CP7</v>
      </c>
      <c r="D572">
        <v>4</v>
      </c>
      <c r="E572">
        <v>4</v>
      </c>
      <c r="F572">
        <f>ABS(D572)+1</f>
      </c>
      <c r="G572" t="str">
        <v>→ CP7</v>
      </c>
      <c r="H572" t="str">
        <v>STRONG</v>
      </c>
      <c r="I572">
        <f>IF(F572=1,1,IF(F572&lt;=3,1,IF(F572&lt;=5,3,IF(F572&lt;=7,5,7))))</f>
      </c>
      <c r="J572">
        <f>IF(F572=1,1,IF(F572&lt;=3,3,IF(F572&lt;=5,5,IF(F572&lt;=7,7,9))))</f>
      </c>
      <c r="K572">
        <f>IF(F572=1,1,IF(F572&lt;=3,5,IF(F572&lt;=5,7,IF(F572&lt;=7,9,9))))</f>
      </c>
      <c r="L572" s="1">
        <f>IF(D572&gt;0,1/K572,I572)</f>
      </c>
      <c r="M572" s="1">
        <f>IF(D572&gt;0,1/J572,J572)</f>
      </c>
      <c r="N572" s="1">
        <f>IF(D572&gt;0,1/I572,K572)</f>
      </c>
    </row>
    <row r="573">
      <c r="A573">
        <v>20</v>
      </c>
      <c r="B573" t="str">
        <v>CP3</v>
      </c>
      <c r="C573" t="str">
        <v>CP8</v>
      </c>
      <c r="D573">
        <v>2</v>
      </c>
      <c r="E573">
        <v>2</v>
      </c>
      <c r="F573">
        <f>ABS(D573)+1</f>
      </c>
      <c r="G573" t="str">
        <v>→ CP8</v>
      </c>
      <c r="H573" t="str">
        <v>MODERATE</v>
      </c>
      <c r="I573">
        <f>IF(F573=1,1,IF(F573&lt;=3,1,IF(F573&lt;=5,3,IF(F573&lt;=7,5,7))))</f>
      </c>
      <c r="J573">
        <f>IF(F573=1,1,IF(F573&lt;=3,3,IF(F573&lt;=5,5,IF(F573&lt;=7,7,9))))</f>
      </c>
      <c r="K573">
        <f>IF(F573=1,1,IF(F573&lt;=3,5,IF(F573&lt;=5,7,IF(F573&lt;=7,9,9))))</f>
      </c>
      <c r="L573" s="1">
        <f>IF(D573&gt;0,1/K573,I573)</f>
      </c>
      <c r="M573" s="1">
        <f>IF(D573&gt;0,1/J573,J573)</f>
      </c>
      <c r="N573" s="1">
        <f>IF(D573&gt;0,1/I573,K573)</f>
      </c>
    </row>
    <row r="574">
      <c r="A574">
        <v>21</v>
      </c>
      <c r="B574" t="str">
        <v>CP3</v>
      </c>
      <c r="C574" t="str">
        <v>CP9</v>
      </c>
      <c r="D574">
        <v>4</v>
      </c>
      <c r="E574">
        <v>4</v>
      </c>
      <c r="F574">
        <f>ABS(D574)+1</f>
      </c>
      <c r="G574" t="str">
        <v>→ CP9</v>
      </c>
      <c r="H574" t="str">
        <v>STRONG</v>
      </c>
      <c r="I574">
        <f>IF(F574=1,1,IF(F574&lt;=3,1,IF(F574&lt;=5,3,IF(F574&lt;=7,5,7))))</f>
      </c>
      <c r="J574">
        <f>IF(F574=1,1,IF(F574&lt;=3,3,IF(F574&lt;=5,5,IF(F574&lt;=7,7,9))))</f>
      </c>
      <c r="K574">
        <f>IF(F574=1,1,IF(F574&lt;=3,5,IF(F574&lt;=5,7,IF(F574&lt;=7,9,9))))</f>
      </c>
      <c r="L574" s="1">
        <f>IF(D574&gt;0,1/K574,I574)</f>
      </c>
      <c r="M574" s="1">
        <f>IF(D574&gt;0,1/J574,J574)</f>
      </c>
      <c r="N574" s="1">
        <f>IF(D574&gt;0,1/I574,K574)</f>
      </c>
    </row>
    <row r="575">
      <c r="A575">
        <v>22</v>
      </c>
      <c r="B575" t="str">
        <v>CP4</v>
      </c>
      <c r="C575" t="str">
        <v>CP5</v>
      </c>
      <c r="D575">
        <v>4</v>
      </c>
      <c r="E575">
        <v>4</v>
      </c>
      <c r="F575">
        <f>ABS(D575)+1</f>
      </c>
      <c r="G575" t="str">
        <v>→ CP5</v>
      </c>
      <c r="H575" t="str">
        <v>STRONG</v>
      </c>
      <c r="I575">
        <f>IF(F575=1,1,IF(F575&lt;=3,1,IF(F575&lt;=5,3,IF(F575&lt;=7,5,7))))</f>
      </c>
      <c r="J575">
        <f>IF(F575=1,1,IF(F575&lt;=3,3,IF(F575&lt;=5,5,IF(F575&lt;=7,7,9))))</f>
      </c>
      <c r="K575">
        <f>IF(F575=1,1,IF(F575&lt;=3,5,IF(F575&lt;=5,7,IF(F575&lt;=7,9,9))))</f>
      </c>
      <c r="L575" s="1">
        <f>IF(D575&gt;0,1/K575,I575)</f>
      </c>
      <c r="M575" s="1">
        <f>IF(D575&gt;0,1/J575,J575)</f>
      </c>
      <c r="N575" s="1">
        <f>IF(D575&gt;0,1/I575,K575)</f>
      </c>
    </row>
    <row r="576">
      <c r="A576">
        <v>23</v>
      </c>
      <c r="B576" t="str">
        <v>CP4</v>
      </c>
      <c r="C576" t="str">
        <v>CP6</v>
      </c>
      <c r="D576">
        <v>3</v>
      </c>
      <c r="E576">
        <v>3</v>
      </c>
      <c r="F576">
        <f>ABS(D576)+1</f>
      </c>
      <c r="G576" t="str">
        <v>→ CP6</v>
      </c>
      <c r="H576" t="str">
        <v>STRONG</v>
      </c>
      <c r="I576">
        <f>IF(F576=1,1,IF(F576&lt;=3,1,IF(F576&lt;=5,3,IF(F576&lt;=7,5,7))))</f>
      </c>
      <c r="J576">
        <f>IF(F576=1,1,IF(F576&lt;=3,3,IF(F576&lt;=5,5,IF(F576&lt;=7,7,9))))</f>
      </c>
      <c r="K576">
        <f>IF(F576=1,1,IF(F576&lt;=3,5,IF(F576&lt;=5,7,IF(F576&lt;=7,9,9))))</f>
      </c>
      <c r="L576" s="1">
        <f>IF(D576&gt;0,1/K576,I576)</f>
      </c>
      <c r="M576" s="1">
        <f>IF(D576&gt;0,1/J576,J576)</f>
      </c>
      <c r="N576" s="1">
        <f>IF(D576&gt;0,1/I576,K576)</f>
      </c>
    </row>
    <row r="577">
      <c r="A577">
        <v>24</v>
      </c>
      <c r="B577" t="str">
        <v>CP4</v>
      </c>
      <c r="C577" t="str">
        <v>CP7</v>
      </c>
      <c r="D577">
        <v>3</v>
      </c>
      <c r="E577">
        <v>3</v>
      </c>
      <c r="F577">
        <f>ABS(D577)+1</f>
      </c>
      <c r="G577" t="str">
        <v>→ CP7</v>
      </c>
      <c r="H577" t="str">
        <v>STRONG</v>
      </c>
      <c r="I577">
        <f>IF(F577=1,1,IF(F577&lt;=3,1,IF(F577&lt;=5,3,IF(F577&lt;=7,5,7))))</f>
      </c>
      <c r="J577">
        <f>IF(F577=1,1,IF(F577&lt;=3,3,IF(F577&lt;=5,5,IF(F577&lt;=7,7,9))))</f>
      </c>
      <c r="K577">
        <f>IF(F577=1,1,IF(F577&lt;=3,5,IF(F577&lt;=5,7,IF(F577&lt;=7,9,9))))</f>
      </c>
      <c r="L577" s="1">
        <f>IF(D577&gt;0,1/K577,I577)</f>
      </c>
      <c r="M577" s="1">
        <f>IF(D577&gt;0,1/J577,J577)</f>
      </c>
      <c r="N577" s="1">
        <f>IF(D577&gt;0,1/I577,K577)</f>
      </c>
    </row>
    <row r="578">
      <c r="A578">
        <v>25</v>
      </c>
      <c r="B578" t="str">
        <v>CP4</v>
      </c>
      <c r="C578" t="str">
        <v>CP8</v>
      </c>
      <c r="D578">
        <v>5</v>
      </c>
      <c r="E578">
        <v>5</v>
      </c>
      <c r="F578">
        <f>ABS(D578)+1</f>
      </c>
      <c r="G578" t="str">
        <v>→ CP8</v>
      </c>
      <c r="H578" t="str">
        <v>VERY_STRONG</v>
      </c>
      <c r="I578">
        <f>IF(F578=1,1,IF(F578&lt;=3,1,IF(F578&lt;=5,3,IF(F578&lt;=7,5,7))))</f>
      </c>
      <c r="J578">
        <f>IF(F578=1,1,IF(F578&lt;=3,3,IF(F578&lt;=5,5,IF(F578&lt;=7,7,9))))</f>
      </c>
      <c r="K578">
        <f>IF(F578=1,1,IF(F578&lt;=3,5,IF(F578&lt;=5,7,IF(F578&lt;=7,9,9))))</f>
      </c>
      <c r="L578" s="1">
        <f>IF(D578&gt;0,1/K578,I578)</f>
      </c>
      <c r="M578" s="1">
        <f>IF(D578&gt;0,1/J578,J578)</f>
      </c>
      <c r="N578" s="1">
        <f>IF(D578&gt;0,1/I578,K578)</f>
      </c>
    </row>
    <row r="579">
      <c r="A579">
        <v>26</v>
      </c>
      <c r="B579" t="str">
        <v>CP4</v>
      </c>
      <c r="C579" t="str">
        <v>CP9</v>
      </c>
      <c r="D579">
        <v>-5</v>
      </c>
      <c r="E579">
        <v>5</v>
      </c>
      <c r="F579">
        <f>ABS(D579)+1</f>
      </c>
      <c r="G579" t="str">
        <v>← CP4</v>
      </c>
      <c r="H579" t="str">
        <v>VERY_STRONG</v>
      </c>
      <c r="I579">
        <f>IF(F579=1,1,IF(F579&lt;=3,1,IF(F579&lt;=5,3,IF(F579&lt;=7,5,7))))</f>
      </c>
      <c r="J579">
        <f>IF(F579=1,1,IF(F579&lt;=3,3,IF(F579&lt;=5,5,IF(F579&lt;=7,7,9))))</f>
      </c>
      <c r="K579">
        <f>IF(F579=1,1,IF(F579&lt;=3,5,IF(F579&lt;=5,7,IF(F579&lt;=7,9,9))))</f>
      </c>
      <c r="L579" s="1">
        <f>IF(D579&gt;0,1/K579,I579)</f>
      </c>
      <c r="M579" s="1">
        <f>IF(D579&gt;0,1/J579,J579)</f>
      </c>
      <c r="N579" s="1">
        <f>IF(D579&gt;0,1/I579,K579)</f>
      </c>
    </row>
    <row r="580">
      <c r="A580">
        <v>27</v>
      </c>
      <c r="B580" t="str">
        <v>CP5</v>
      </c>
      <c r="C580" t="str">
        <v>CP6</v>
      </c>
      <c r="D580">
        <v>-4</v>
      </c>
      <c r="E580">
        <v>4</v>
      </c>
      <c r="F580">
        <f>ABS(D580)+1</f>
      </c>
      <c r="G580" t="str">
        <v>← CP5</v>
      </c>
      <c r="H580" t="str">
        <v>STRONG</v>
      </c>
      <c r="I580">
        <f>IF(F580=1,1,IF(F580&lt;=3,1,IF(F580&lt;=5,3,IF(F580&lt;=7,5,7))))</f>
      </c>
      <c r="J580">
        <f>IF(F580=1,1,IF(F580&lt;=3,3,IF(F580&lt;=5,5,IF(F580&lt;=7,7,9))))</f>
      </c>
      <c r="K580">
        <f>IF(F580=1,1,IF(F580&lt;=3,5,IF(F580&lt;=5,7,IF(F580&lt;=7,9,9))))</f>
      </c>
      <c r="L580" s="1">
        <f>IF(D580&gt;0,1/K580,I580)</f>
      </c>
      <c r="M580" s="1">
        <f>IF(D580&gt;0,1/J580,J580)</f>
      </c>
      <c r="N580" s="1">
        <f>IF(D580&gt;0,1/I580,K580)</f>
      </c>
    </row>
    <row r="581">
      <c r="A581">
        <v>28</v>
      </c>
      <c r="B581" t="str">
        <v>CP5</v>
      </c>
      <c r="C581" t="str">
        <v>CP7</v>
      </c>
      <c r="D581">
        <v>-4</v>
      </c>
      <c r="E581">
        <v>4</v>
      </c>
      <c r="F581">
        <f>ABS(D581)+1</f>
      </c>
      <c r="G581" t="str">
        <v>← CP5</v>
      </c>
      <c r="H581" t="str">
        <v>STRONG</v>
      </c>
      <c r="I581">
        <f>IF(F581=1,1,IF(F581&lt;=3,1,IF(F581&lt;=5,3,IF(F581&lt;=7,5,7))))</f>
      </c>
      <c r="J581">
        <f>IF(F581=1,1,IF(F581&lt;=3,3,IF(F581&lt;=5,5,IF(F581&lt;=7,7,9))))</f>
      </c>
      <c r="K581">
        <f>IF(F581=1,1,IF(F581&lt;=3,5,IF(F581&lt;=5,7,IF(F581&lt;=7,9,9))))</f>
      </c>
      <c r="L581" s="1">
        <f>IF(D581&gt;0,1/K581,I581)</f>
      </c>
      <c r="M581" s="1">
        <f>IF(D581&gt;0,1/J581,J581)</f>
      </c>
      <c r="N581" s="1">
        <f>IF(D581&gt;0,1/I581,K581)</f>
      </c>
    </row>
    <row r="582">
      <c r="A582">
        <v>29</v>
      </c>
      <c r="B582" t="str">
        <v>CP5</v>
      </c>
      <c r="C582" t="str">
        <v>CP8</v>
      </c>
      <c r="D582">
        <v>-4</v>
      </c>
      <c r="E582">
        <v>4</v>
      </c>
      <c r="F582">
        <f>ABS(D582)+1</f>
      </c>
      <c r="G582" t="str">
        <v>← CP5</v>
      </c>
      <c r="H582" t="str">
        <v>STRONG</v>
      </c>
      <c r="I582">
        <f>IF(F582=1,1,IF(F582&lt;=3,1,IF(F582&lt;=5,3,IF(F582&lt;=7,5,7))))</f>
      </c>
      <c r="J582">
        <f>IF(F582=1,1,IF(F582&lt;=3,3,IF(F582&lt;=5,5,IF(F582&lt;=7,7,9))))</f>
      </c>
      <c r="K582">
        <f>IF(F582=1,1,IF(F582&lt;=3,5,IF(F582&lt;=5,7,IF(F582&lt;=7,9,9))))</f>
      </c>
      <c r="L582" s="1">
        <f>IF(D582&gt;0,1/K582,I582)</f>
      </c>
      <c r="M582" s="1">
        <f>IF(D582&gt;0,1/J582,J582)</f>
      </c>
      <c r="N582" s="1">
        <f>IF(D582&gt;0,1/I582,K582)</f>
      </c>
    </row>
    <row r="583">
      <c r="A583">
        <v>30</v>
      </c>
      <c r="B583" t="str">
        <v>CP5</v>
      </c>
      <c r="C583" t="str">
        <v>CP9</v>
      </c>
      <c r="D583">
        <v>-4</v>
      </c>
      <c r="E583">
        <v>4</v>
      </c>
      <c r="F583">
        <f>ABS(D583)+1</f>
      </c>
      <c r="G583" t="str">
        <v>← CP5</v>
      </c>
      <c r="H583" t="str">
        <v>STRONG</v>
      </c>
      <c r="I583">
        <f>IF(F583=1,1,IF(F583&lt;=3,1,IF(F583&lt;=5,3,IF(F583&lt;=7,5,7))))</f>
      </c>
      <c r="J583">
        <f>IF(F583=1,1,IF(F583&lt;=3,3,IF(F583&lt;=5,5,IF(F583&lt;=7,7,9))))</f>
      </c>
      <c r="K583">
        <f>IF(F583=1,1,IF(F583&lt;=3,5,IF(F583&lt;=5,7,IF(F583&lt;=7,9,9))))</f>
      </c>
      <c r="L583" s="1">
        <f>IF(D583&gt;0,1/K583,I583)</f>
      </c>
      <c r="M583" s="1">
        <f>IF(D583&gt;0,1/J583,J583)</f>
      </c>
      <c r="N583" s="1">
        <f>IF(D583&gt;0,1/I583,K583)</f>
      </c>
    </row>
    <row r="584">
      <c r="A584">
        <v>31</v>
      </c>
      <c r="B584" t="str">
        <v>CP6</v>
      </c>
      <c r="C584" t="str">
        <v>CP7</v>
      </c>
      <c r="D584">
        <v>-4</v>
      </c>
      <c r="E584">
        <v>4</v>
      </c>
      <c r="F584">
        <f>ABS(D584)+1</f>
      </c>
      <c r="G584" t="str">
        <v>← CP6</v>
      </c>
      <c r="H584" t="str">
        <v>STRONG</v>
      </c>
      <c r="I584">
        <f>IF(F584=1,1,IF(F584&lt;=3,1,IF(F584&lt;=5,3,IF(F584&lt;=7,5,7))))</f>
      </c>
      <c r="J584">
        <f>IF(F584=1,1,IF(F584&lt;=3,3,IF(F584&lt;=5,5,IF(F584&lt;=7,7,9))))</f>
      </c>
      <c r="K584">
        <f>IF(F584=1,1,IF(F584&lt;=3,5,IF(F584&lt;=5,7,IF(F584&lt;=7,9,9))))</f>
      </c>
      <c r="L584" s="1">
        <f>IF(D584&gt;0,1/K584,I584)</f>
      </c>
      <c r="M584" s="1">
        <f>IF(D584&gt;0,1/J584,J584)</f>
      </c>
      <c r="N584" s="1">
        <f>IF(D584&gt;0,1/I584,K584)</f>
      </c>
    </row>
    <row r="585">
      <c r="A585">
        <v>32</v>
      </c>
      <c r="B585" t="str">
        <v>CP6</v>
      </c>
      <c r="C585" t="str">
        <v>CP8</v>
      </c>
      <c r="D585">
        <v>-4</v>
      </c>
      <c r="E585">
        <v>4</v>
      </c>
      <c r="F585">
        <f>ABS(D585)+1</f>
      </c>
      <c r="G585" t="str">
        <v>← CP6</v>
      </c>
      <c r="H585" t="str">
        <v>STRONG</v>
      </c>
      <c r="I585">
        <f>IF(F585=1,1,IF(F585&lt;=3,1,IF(F585&lt;=5,3,IF(F585&lt;=7,5,7))))</f>
      </c>
      <c r="J585">
        <f>IF(F585=1,1,IF(F585&lt;=3,3,IF(F585&lt;=5,5,IF(F585&lt;=7,7,9))))</f>
      </c>
      <c r="K585">
        <f>IF(F585=1,1,IF(F585&lt;=3,5,IF(F585&lt;=5,7,IF(F585&lt;=7,9,9))))</f>
      </c>
      <c r="L585" s="1">
        <f>IF(D585&gt;0,1/K585,I585)</f>
      </c>
      <c r="M585" s="1">
        <f>IF(D585&gt;0,1/J585,J585)</f>
      </c>
      <c r="N585" s="1">
        <f>IF(D585&gt;0,1/I585,K585)</f>
      </c>
    </row>
    <row r="586">
      <c r="A586">
        <v>33</v>
      </c>
      <c r="B586" t="str">
        <v>CP6</v>
      </c>
      <c r="C586" t="str">
        <v>CP9</v>
      </c>
      <c r="D586">
        <v>-4</v>
      </c>
      <c r="E586">
        <v>4</v>
      </c>
      <c r="F586">
        <f>ABS(D586)+1</f>
      </c>
      <c r="G586" t="str">
        <v>← CP6</v>
      </c>
      <c r="H586" t="str">
        <v>STRONG</v>
      </c>
      <c r="I586">
        <f>IF(F586=1,1,IF(F586&lt;=3,1,IF(F586&lt;=5,3,IF(F586&lt;=7,5,7))))</f>
      </c>
      <c r="J586">
        <f>IF(F586=1,1,IF(F586&lt;=3,3,IF(F586&lt;=5,5,IF(F586&lt;=7,7,9))))</f>
      </c>
      <c r="K586">
        <f>IF(F586=1,1,IF(F586&lt;=3,5,IF(F586&lt;=5,7,IF(F586&lt;=7,9,9))))</f>
      </c>
      <c r="L586" s="1">
        <f>IF(D586&gt;0,1/K586,I586)</f>
      </c>
      <c r="M586" s="1">
        <f>IF(D586&gt;0,1/J586,J586)</f>
      </c>
      <c r="N586" s="1">
        <f>IF(D586&gt;0,1/I586,K586)</f>
      </c>
    </row>
    <row r="587">
      <c r="A587">
        <v>34</v>
      </c>
      <c r="B587" t="str">
        <v>CP7</v>
      </c>
      <c r="C587" t="str">
        <v>CP8</v>
      </c>
      <c r="D587">
        <v>-4</v>
      </c>
      <c r="E587">
        <v>4</v>
      </c>
      <c r="F587">
        <f>ABS(D587)+1</f>
      </c>
      <c r="G587" t="str">
        <v>← CP7</v>
      </c>
      <c r="H587" t="str">
        <v>STRONG</v>
      </c>
      <c r="I587">
        <f>IF(F587=1,1,IF(F587&lt;=3,1,IF(F587&lt;=5,3,IF(F587&lt;=7,5,7))))</f>
      </c>
      <c r="J587">
        <f>IF(F587=1,1,IF(F587&lt;=3,3,IF(F587&lt;=5,5,IF(F587&lt;=7,7,9))))</f>
      </c>
      <c r="K587">
        <f>IF(F587=1,1,IF(F587&lt;=3,5,IF(F587&lt;=5,7,IF(F587&lt;=7,9,9))))</f>
      </c>
      <c r="L587" s="1">
        <f>IF(D587&gt;0,1/K587,I587)</f>
      </c>
      <c r="M587" s="1">
        <f>IF(D587&gt;0,1/J587,J587)</f>
      </c>
      <c r="N587" s="1">
        <f>IF(D587&gt;0,1/I587,K587)</f>
      </c>
    </row>
    <row r="588">
      <c r="A588">
        <v>35</v>
      </c>
      <c r="B588" t="str">
        <v>CP7</v>
      </c>
      <c r="C588" t="str">
        <v>CP9</v>
      </c>
      <c r="D588">
        <v>-4</v>
      </c>
      <c r="E588">
        <v>4</v>
      </c>
      <c r="F588">
        <f>ABS(D588)+1</f>
      </c>
      <c r="G588" t="str">
        <v>← CP7</v>
      </c>
      <c r="H588" t="str">
        <v>STRONG</v>
      </c>
      <c r="I588">
        <f>IF(F588=1,1,IF(F588&lt;=3,1,IF(F588&lt;=5,3,IF(F588&lt;=7,5,7))))</f>
      </c>
      <c r="J588">
        <f>IF(F588=1,1,IF(F588&lt;=3,3,IF(F588&lt;=5,5,IF(F588&lt;=7,7,9))))</f>
      </c>
      <c r="K588">
        <f>IF(F588=1,1,IF(F588&lt;=3,5,IF(F588&lt;=5,7,IF(F588&lt;=7,9,9))))</f>
      </c>
      <c r="L588" s="1">
        <f>IF(D588&gt;0,1/K588,I588)</f>
      </c>
      <c r="M588" s="1">
        <f>IF(D588&gt;0,1/J588,J588)</f>
      </c>
      <c r="N588" s="1">
        <f>IF(D588&gt;0,1/I588,K588)</f>
      </c>
    </row>
    <row r="589">
      <c r="A589">
        <v>36</v>
      </c>
      <c r="B589" t="str">
        <v>CP8</v>
      </c>
      <c r="C589" t="str">
        <v>CP9</v>
      </c>
      <c r="D589">
        <v>4</v>
      </c>
      <c r="E589">
        <v>4</v>
      </c>
      <c r="F589">
        <f>ABS(D589)+1</f>
      </c>
      <c r="G589" t="str">
        <v>→ CP9</v>
      </c>
      <c r="H589" t="str">
        <v>STRONG</v>
      </c>
      <c r="I589">
        <f>IF(F589=1,1,IF(F589&lt;=3,1,IF(F589&lt;=5,3,IF(F589&lt;=7,5,7))))</f>
      </c>
      <c r="J589">
        <f>IF(F589=1,1,IF(F589&lt;=3,3,IF(F589&lt;=5,5,IF(F589&lt;=7,7,9))))</f>
      </c>
      <c r="K589">
        <f>IF(F589=1,1,IF(F589&lt;=3,5,IF(F589&lt;=5,7,IF(F589&lt;=7,9,9))))</f>
      </c>
      <c r="L589" s="1">
        <f>IF(D589&gt;0,1/K589,I589)</f>
      </c>
      <c r="M589" s="1">
        <f>IF(D589&gt;0,1/J589,J589)</f>
      </c>
      <c r="N589" s="1">
        <f>IF(D589&gt;0,1/I589,K589)</f>
      </c>
    </row>
    <row r="592">
      <c r="A592" t="str">
        <v>═══ RESPONDEN 15: FARALINDA SARI ═══</v>
      </c>
    </row>
    <row r="593">
      <c r="A593" t="str">
        <v>Jabatan: Kepala Bidang Kesehatan Hewan | Instansi: Dinas Peternakan dan Kesehatan Hewan Prov Riau</v>
      </c>
    </row>
    <row r="594">
      <c r="A594" t="str">
        <v>No</v>
      </c>
      <c r="B594" t="str">
        <v>Krit. A</v>
      </c>
      <c r="C594" t="str">
        <v>Krit. B</v>
      </c>
      <c r="D594" t="str">
        <v>Slider</v>
      </c>
      <c r="E594" t="str">
        <v>|Slider|</v>
      </c>
      <c r="F594" t="str">
        <v>absVal</v>
      </c>
      <c r="G594" t="str">
        <v>Arah</v>
      </c>
      <c r="H594" t="str">
        <v>Fuzzy</v>
      </c>
      <c r="I594" t="str">
        <v>l_orig</v>
      </c>
      <c r="J594" t="str">
        <v>m_orig</v>
      </c>
      <c r="K594" t="str">
        <v>u_orig</v>
      </c>
      <c r="L594" t="str">
        <v>TFN_l</v>
      </c>
      <c r="M594" t="str">
        <v>TFN_m</v>
      </c>
      <c r="N594" t="str">
        <v>TFN_u</v>
      </c>
    </row>
    <row r="595">
      <c r="A595">
        <v>1</v>
      </c>
      <c r="B595" t="str">
        <v>CP1</v>
      </c>
      <c r="C595" t="str">
        <v>CP2</v>
      </c>
      <c r="D595">
        <v>0</v>
      </c>
      <c r="E595">
        <v>0</v>
      </c>
      <c r="F595">
        <f>ABS(D595)+1</f>
      </c>
      <c r="G595" t="str">
        <v>= Sama</v>
      </c>
      <c r="H595" t="str">
        <v>EQUAL</v>
      </c>
      <c r="I595">
        <f>IF(F595=1,1,IF(F595&lt;=3,1,IF(F595&lt;=5,3,IF(F595&lt;=7,5,7))))</f>
      </c>
      <c r="J595">
        <f>IF(F595=1,1,IF(F595&lt;=3,3,IF(F595&lt;=5,5,IF(F595&lt;=7,7,9))))</f>
      </c>
      <c r="K595">
        <f>IF(F595=1,1,IF(F595&lt;=3,5,IF(F595&lt;=5,7,IF(F595&lt;=7,9,9))))</f>
      </c>
      <c r="L595" s="1">
        <f>IF(D595&gt;0,1/K595,I595)</f>
      </c>
      <c r="M595" s="1">
        <f>IF(D595&gt;0,1/J595,J595)</f>
      </c>
      <c r="N595" s="1">
        <f>IF(D595&gt;0,1/I595,K595)</f>
      </c>
    </row>
    <row r="596">
      <c r="A596">
        <v>2</v>
      </c>
      <c r="B596" t="str">
        <v>CP1</v>
      </c>
      <c r="C596" t="str">
        <v>CP3</v>
      </c>
      <c r="D596">
        <v>1</v>
      </c>
      <c r="E596">
        <v>1</v>
      </c>
      <c r="F596">
        <f>ABS(D596)+1</f>
      </c>
      <c r="G596" t="str">
        <v>→ CP3</v>
      </c>
      <c r="H596" t="str">
        <v>MODERATE</v>
      </c>
      <c r="I596">
        <f>IF(F596=1,1,IF(F596&lt;=3,1,IF(F596&lt;=5,3,IF(F596&lt;=7,5,7))))</f>
      </c>
      <c r="J596">
        <f>IF(F596=1,1,IF(F596&lt;=3,3,IF(F596&lt;=5,5,IF(F596&lt;=7,7,9))))</f>
      </c>
      <c r="K596">
        <f>IF(F596=1,1,IF(F596&lt;=3,5,IF(F596&lt;=5,7,IF(F596&lt;=7,9,9))))</f>
      </c>
      <c r="L596" s="1">
        <f>IF(D596&gt;0,1/K596,I596)</f>
      </c>
      <c r="M596" s="1">
        <f>IF(D596&gt;0,1/J596,J596)</f>
      </c>
      <c r="N596" s="1">
        <f>IF(D596&gt;0,1/I596,K596)</f>
      </c>
    </row>
    <row r="597">
      <c r="A597">
        <v>3</v>
      </c>
      <c r="B597" t="str">
        <v>CP1</v>
      </c>
      <c r="C597" t="str">
        <v>CP4</v>
      </c>
      <c r="D597">
        <v>3</v>
      </c>
      <c r="E597">
        <v>3</v>
      </c>
      <c r="F597">
        <f>ABS(D597)+1</f>
      </c>
      <c r="G597" t="str">
        <v>→ CP4</v>
      </c>
      <c r="H597" t="str">
        <v>STRONG</v>
      </c>
      <c r="I597">
        <f>IF(F597=1,1,IF(F597&lt;=3,1,IF(F597&lt;=5,3,IF(F597&lt;=7,5,7))))</f>
      </c>
      <c r="J597">
        <f>IF(F597=1,1,IF(F597&lt;=3,3,IF(F597&lt;=5,5,IF(F597&lt;=7,7,9))))</f>
      </c>
      <c r="K597">
        <f>IF(F597=1,1,IF(F597&lt;=3,5,IF(F597&lt;=5,7,IF(F597&lt;=7,9,9))))</f>
      </c>
      <c r="L597" s="1">
        <f>IF(D597&gt;0,1/K597,I597)</f>
      </c>
      <c r="M597" s="1">
        <f>IF(D597&gt;0,1/J597,J597)</f>
      </c>
      <c r="N597" s="1">
        <f>IF(D597&gt;0,1/I597,K597)</f>
      </c>
    </row>
    <row r="598">
      <c r="A598">
        <v>4</v>
      </c>
      <c r="B598" t="str">
        <v>CP1</v>
      </c>
      <c r="C598" t="str">
        <v>CP5</v>
      </c>
      <c r="D598">
        <v>4</v>
      </c>
      <c r="E598">
        <v>4</v>
      </c>
      <c r="F598">
        <f>ABS(D598)+1</f>
      </c>
      <c r="G598" t="str">
        <v>→ CP5</v>
      </c>
      <c r="H598" t="str">
        <v>STRONG</v>
      </c>
      <c r="I598">
        <f>IF(F598=1,1,IF(F598&lt;=3,1,IF(F598&lt;=5,3,IF(F598&lt;=7,5,7))))</f>
      </c>
      <c r="J598">
        <f>IF(F598=1,1,IF(F598&lt;=3,3,IF(F598&lt;=5,5,IF(F598&lt;=7,7,9))))</f>
      </c>
      <c r="K598">
        <f>IF(F598=1,1,IF(F598&lt;=3,5,IF(F598&lt;=5,7,IF(F598&lt;=7,9,9))))</f>
      </c>
      <c r="L598" s="1">
        <f>IF(D598&gt;0,1/K598,I598)</f>
      </c>
      <c r="M598" s="1">
        <f>IF(D598&gt;0,1/J598,J598)</f>
      </c>
      <c r="N598" s="1">
        <f>IF(D598&gt;0,1/I598,K598)</f>
      </c>
    </row>
    <row r="599">
      <c r="A599">
        <v>5</v>
      </c>
      <c r="B599" t="str">
        <v>CP1</v>
      </c>
      <c r="C599" t="str">
        <v>CP6</v>
      </c>
      <c r="D599">
        <v>4</v>
      </c>
      <c r="E599">
        <v>4</v>
      </c>
      <c r="F599">
        <f>ABS(D599)+1</f>
      </c>
      <c r="G599" t="str">
        <v>→ CP6</v>
      </c>
      <c r="H599" t="str">
        <v>STRONG</v>
      </c>
      <c r="I599">
        <f>IF(F599=1,1,IF(F599&lt;=3,1,IF(F599&lt;=5,3,IF(F599&lt;=7,5,7))))</f>
      </c>
      <c r="J599">
        <f>IF(F599=1,1,IF(F599&lt;=3,3,IF(F599&lt;=5,5,IF(F599&lt;=7,7,9))))</f>
      </c>
      <c r="K599">
        <f>IF(F599=1,1,IF(F599&lt;=3,5,IF(F599&lt;=5,7,IF(F599&lt;=7,9,9))))</f>
      </c>
      <c r="L599" s="1">
        <f>IF(D599&gt;0,1/K599,I599)</f>
      </c>
      <c r="M599" s="1">
        <f>IF(D599&gt;0,1/J599,J599)</f>
      </c>
      <c r="N599" s="1">
        <f>IF(D599&gt;0,1/I599,K599)</f>
      </c>
    </row>
    <row r="600">
      <c r="A600">
        <v>6</v>
      </c>
      <c r="B600" t="str">
        <v>CP1</v>
      </c>
      <c r="C600" t="str">
        <v>CP7</v>
      </c>
      <c r="D600">
        <v>-2</v>
      </c>
      <c r="E600">
        <v>2</v>
      </c>
      <c r="F600">
        <f>ABS(D600)+1</f>
      </c>
      <c r="G600" t="str">
        <v>← CP1</v>
      </c>
      <c r="H600" t="str">
        <v>MODERATE</v>
      </c>
      <c r="I600">
        <f>IF(F600=1,1,IF(F600&lt;=3,1,IF(F600&lt;=5,3,IF(F600&lt;=7,5,7))))</f>
      </c>
      <c r="J600">
        <f>IF(F600=1,1,IF(F600&lt;=3,3,IF(F600&lt;=5,5,IF(F600&lt;=7,7,9))))</f>
      </c>
      <c r="K600">
        <f>IF(F600=1,1,IF(F600&lt;=3,5,IF(F600&lt;=5,7,IF(F600&lt;=7,9,9))))</f>
      </c>
      <c r="L600" s="1">
        <f>IF(D600&gt;0,1/K600,I600)</f>
      </c>
      <c r="M600" s="1">
        <f>IF(D600&gt;0,1/J600,J600)</f>
      </c>
      <c r="N600" s="1">
        <f>IF(D600&gt;0,1/I600,K600)</f>
      </c>
    </row>
    <row r="601">
      <c r="A601">
        <v>7</v>
      </c>
      <c r="B601" t="str">
        <v>CP1</v>
      </c>
      <c r="C601" t="str">
        <v>CP8</v>
      </c>
      <c r="D601">
        <v>4</v>
      </c>
      <c r="E601">
        <v>4</v>
      </c>
      <c r="F601">
        <f>ABS(D601)+1</f>
      </c>
      <c r="G601" t="str">
        <v>→ CP8</v>
      </c>
      <c r="H601" t="str">
        <v>STRONG</v>
      </c>
      <c r="I601">
        <f>IF(F601=1,1,IF(F601&lt;=3,1,IF(F601&lt;=5,3,IF(F601&lt;=7,5,7))))</f>
      </c>
      <c r="J601">
        <f>IF(F601=1,1,IF(F601&lt;=3,3,IF(F601&lt;=5,5,IF(F601&lt;=7,7,9))))</f>
      </c>
      <c r="K601">
        <f>IF(F601=1,1,IF(F601&lt;=3,5,IF(F601&lt;=5,7,IF(F601&lt;=7,9,9))))</f>
      </c>
      <c r="L601" s="1">
        <f>IF(D601&gt;0,1/K601,I601)</f>
      </c>
      <c r="M601" s="1">
        <f>IF(D601&gt;0,1/J601,J601)</f>
      </c>
      <c r="N601" s="1">
        <f>IF(D601&gt;0,1/I601,K601)</f>
      </c>
    </row>
    <row r="602">
      <c r="A602">
        <v>8</v>
      </c>
      <c r="B602" t="str">
        <v>CP1</v>
      </c>
      <c r="C602" t="str">
        <v>CP9</v>
      </c>
      <c r="D602">
        <v>4</v>
      </c>
      <c r="E602">
        <v>4</v>
      </c>
      <c r="F602">
        <f>ABS(D602)+1</f>
      </c>
      <c r="G602" t="str">
        <v>→ CP9</v>
      </c>
      <c r="H602" t="str">
        <v>STRONG</v>
      </c>
      <c r="I602">
        <f>IF(F602=1,1,IF(F602&lt;=3,1,IF(F602&lt;=5,3,IF(F602&lt;=7,5,7))))</f>
      </c>
      <c r="J602">
        <f>IF(F602=1,1,IF(F602&lt;=3,3,IF(F602&lt;=5,5,IF(F602&lt;=7,7,9))))</f>
      </c>
      <c r="K602">
        <f>IF(F602=1,1,IF(F602&lt;=3,5,IF(F602&lt;=5,7,IF(F602&lt;=7,9,9))))</f>
      </c>
      <c r="L602" s="1">
        <f>IF(D602&gt;0,1/K602,I602)</f>
      </c>
      <c r="M602" s="1">
        <f>IF(D602&gt;0,1/J602,J602)</f>
      </c>
      <c r="N602" s="1">
        <f>IF(D602&gt;0,1/I602,K602)</f>
      </c>
    </row>
    <row r="603">
      <c r="A603">
        <v>9</v>
      </c>
      <c r="B603" t="str">
        <v>CP2</v>
      </c>
      <c r="C603" t="str">
        <v>CP3</v>
      </c>
      <c r="D603">
        <v>0</v>
      </c>
      <c r="E603">
        <v>0</v>
      </c>
      <c r="F603">
        <f>ABS(D603)+1</f>
      </c>
      <c r="G603" t="str">
        <v>= Sama</v>
      </c>
      <c r="H603" t="str">
        <v>EQUAL</v>
      </c>
      <c r="I603">
        <f>IF(F603=1,1,IF(F603&lt;=3,1,IF(F603&lt;=5,3,IF(F603&lt;=7,5,7))))</f>
      </c>
      <c r="J603">
        <f>IF(F603=1,1,IF(F603&lt;=3,3,IF(F603&lt;=5,5,IF(F603&lt;=7,7,9))))</f>
      </c>
      <c r="K603">
        <f>IF(F603=1,1,IF(F603&lt;=3,5,IF(F603&lt;=5,7,IF(F603&lt;=7,9,9))))</f>
      </c>
      <c r="L603" s="1">
        <f>IF(D603&gt;0,1/K603,I603)</f>
      </c>
      <c r="M603" s="1">
        <f>IF(D603&gt;0,1/J603,J603)</f>
      </c>
      <c r="N603" s="1">
        <f>IF(D603&gt;0,1/I603,K603)</f>
      </c>
    </row>
    <row r="604">
      <c r="A604">
        <v>10</v>
      </c>
      <c r="B604" t="str">
        <v>CP2</v>
      </c>
      <c r="C604" t="str">
        <v>CP4</v>
      </c>
      <c r="D604">
        <v>2</v>
      </c>
      <c r="E604">
        <v>2</v>
      </c>
      <c r="F604">
        <f>ABS(D604)+1</f>
      </c>
      <c r="G604" t="str">
        <v>→ CP4</v>
      </c>
      <c r="H604" t="str">
        <v>MODERATE</v>
      </c>
      <c r="I604">
        <f>IF(F604=1,1,IF(F604&lt;=3,1,IF(F604&lt;=5,3,IF(F604&lt;=7,5,7))))</f>
      </c>
      <c r="J604">
        <f>IF(F604=1,1,IF(F604&lt;=3,3,IF(F604&lt;=5,5,IF(F604&lt;=7,7,9))))</f>
      </c>
      <c r="K604">
        <f>IF(F604=1,1,IF(F604&lt;=3,5,IF(F604&lt;=5,7,IF(F604&lt;=7,9,9))))</f>
      </c>
      <c r="L604" s="1">
        <f>IF(D604&gt;0,1/K604,I604)</f>
      </c>
      <c r="M604" s="1">
        <f>IF(D604&gt;0,1/J604,J604)</f>
      </c>
      <c r="N604" s="1">
        <f>IF(D604&gt;0,1/I604,K604)</f>
      </c>
    </row>
    <row r="605">
      <c r="A605">
        <v>11</v>
      </c>
      <c r="B605" t="str">
        <v>CP2</v>
      </c>
      <c r="C605" t="str">
        <v>CP5</v>
      </c>
      <c r="D605">
        <v>4</v>
      </c>
      <c r="E605">
        <v>4</v>
      </c>
      <c r="F605">
        <f>ABS(D605)+1</f>
      </c>
      <c r="G605" t="str">
        <v>→ CP5</v>
      </c>
      <c r="H605" t="str">
        <v>STRONG</v>
      </c>
      <c r="I605">
        <f>IF(F605=1,1,IF(F605&lt;=3,1,IF(F605&lt;=5,3,IF(F605&lt;=7,5,7))))</f>
      </c>
      <c r="J605">
        <f>IF(F605=1,1,IF(F605&lt;=3,3,IF(F605&lt;=5,5,IF(F605&lt;=7,7,9))))</f>
      </c>
      <c r="K605">
        <f>IF(F605=1,1,IF(F605&lt;=3,5,IF(F605&lt;=5,7,IF(F605&lt;=7,9,9))))</f>
      </c>
      <c r="L605" s="1">
        <f>IF(D605&gt;0,1/K605,I605)</f>
      </c>
      <c r="M605" s="1">
        <f>IF(D605&gt;0,1/J605,J605)</f>
      </c>
      <c r="N605" s="1">
        <f>IF(D605&gt;0,1/I605,K605)</f>
      </c>
    </row>
    <row r="606">
      <c r="A606">
        <v>12</v>
      </c>
      <c r="B606" t="str">
        <v>CP2</v>
      </c>
      <c r="C606" t="str">
        <v>CP6</v>
      </c>
      <c r="D606">
        <v>5</v>
      </c>
      <c r="E606">
        <v>5</v>
      </c>
      <c r="F606">
        <f>ABS(D606)+1</f>
      </c>
      <c r="G606" t="str">
        <v>→ CP6</v>
      </c>
      <c r="H606" t="str">
        <v>VERY_STRONG</v>
      </c>
      <c r="I606">
        <f>IF(F606=1,1,IF(F606&lt;=3,1,IF(F606&lt;=5,3,IF(F606&lt;=7,5,7))))</f>
      </c>
      <c r="J606">
        <f>IF(F606=1,1,IF(F606&lt;=3,3,IF(F606&lt;=5,5,IF(F606&lt;=7,7,9))))</f>
      </c>
      <c r="K606">
        <f>IF(F606=1,1,IF(F606&lt;=3,5,IF(F606&lt;=5,7,IF(F606&lt;=7,9,9))))</f>
      </c>
      <c r="L606" s="1">
        <f>IF(D606&gt;0,1/K606,I606)</f>
      </c>
      <c r="M606" s="1">
        <f>IF(D606&gt;0,1/J606,J606)</f>
      </c>
      <c r="N606" s="1">
        <f>IF(D606&gt;0,1/I606,K606)</f>
      </c>
    </row>
    <row r="607">
      <c r="A607">
        <v>13</v>
      </c>
      <c r="B607" t="str">
        <v>CP2</v>
      </c>
      <c r="C607" t="str">
        <v>CP7</v>
      </c>
      <c r="D607">
        <v>0</v>
      </c>
      <c r="E607">
        <v>0</v>
      </c>
      <c r="F607">
        <f>ABS(D607)+1</f>
      </c>
      <c r="G607" t="str">
        <v>= Sama</v>
      </c>
      <c r="H607" t="str">
        <v>EQUAL</v>
      </c>
      <c r="I607">
        <f>IF(F607=1,1,IF(F607&lt;=3,1,IF(F607&lt;=5,3,IF(F607&lt;=7,5,7))))</f>
      </c>
      <c r="J607">
        <f>IF(F607=1,1,IF(F607&lt;=3,3,IF(F607&lt;=5,5,IF(F607&lt;=7,7,9))))</f>
      </c>
      <c r="K607">
        <f>IF(F607=1,1,IF(F607&lt;=3,5,IF(F607&lt;=5,7,IF(F607&lt;=7,9,9))))</f>
      </c>
      <c r="L607" s="1">
        <f>IF(D607&gt;0,1/K607,I607)</f>
      </c>
      <c r="M607" s="1">
        <f>IF(D607&gt;0,1/J607,J607)</f>
      </c>
      <c r="N607" s="1">
        <f>IF(D607&gt;0,1/I607,K607)</f>
      </c>
    </row>
    <row r="608">
      <c r="A608">
        <v>14</v>
      </c>
      <c r="B608" t="str">
        <v>CP2</v>
      </c>
      <c r="C608" t="str">
        <v>CP8</v>
      </c>
      <c r="D608">
        <v>0</v>
      </c>
      <c r="E608">
        <v>0</v>
      </c>
      <c r="F608">
        <f>ABS(D608)+1</f>
      </c>
      <c r="G608" t="str">
        <v>= Sama</v>
      </c>
      <c r="H608" t="str">
        <v>EQUAL</v>
      </c>
      <c r="I608">
        <f>IF(F608=1,1,IF(F608&lt;=3,1,IF(F608&lt;=5,3,IF(F608&lt;=7,5,7))))</f>
      </c>
      <c r="J608">
        <f>IF(F608=1,1,IF(F608&lt;=3,3,IF(F608&lt;=5,5,IF(F608&lt;=7,7,9))))</f>
      </c>
      <c r="K608">
        <f>IF(F608=1,1,IF(F608&lt;=3,5,IF(F608&lt;=5,7,IF(F608&lt;=7,9,9))))</f>
      </c>
      <c r="L608" s="1">
        <f>IF(D608&gt;0,1/K608,I608)</f>
      </c>
      <c r="M608" s="1">
        <f>IF(D608&gt;0,1/J608,J608)</f>
      </c>
      <c r="N608" s="1">
        <f>IF(D608&gt;0,1/I608,K608)</f>
      </c>
    </row>
    <row r="609">
      <c r="A609">
        <v>15</v>
      </c>
      <c r="B609" t="str">
        <v>CP2</v>
      </c>
      <c r="C609" t="str">
        <v>CP9</v>
      </c>
      <c r="D609">
        <v>4</v>
      </c>
      <c r="E609">
        <v>4</v>
      </c>
      <c r="F609">
        <f>ABS(D609)+1</f>
      </c>
      <c r="G609" t="str">
        <v>→ CP9</v>
      </c>
      <c r="H609" t="str">
        <v>STRONG</v>
      </c>
      <c r="I609">
        <f>IF(F609=1,1,IF(F609&lt;=3,1,IF(F609&lt;=5,3,IF(F609&lt;=7,5,7))))</f>
      </c>
      <c r="J609">
        <f>IF(F609=1,1,IF(F609&lt;=3,3,IF(F609&lt;=5,5,IF(F609&lt;=7,7,9))))</f>
      </c>
      <c r="K609">
        <f>IF(F609=1,1,IF(F609&lt;=3,5,IF(F609&lt;=5,7,IF(F609&lt;=7,9,9))))</f>
      </c>
      <c r="L609" s="1">
        <f>IF(D609&gt;0,1/K609,I609)</f>
      </c>
      <c r="M609" s="1">
        <f>IF(D609&gt;0,1/J609,J609)</f>
      </c>
      <c r="N609" s="1">
        <f>IF(D609&gt;0,1/I609,K609)</f>
      </c>
    </row>
    <row r="610">
      <c r="A610">
        <v>16</v>
      </c>
      <c r="B610" t="str">
        <v>CP3</v>
      </c>
      <c r="C610" t="str">
        <v>CP4</v>
      </c>
      <c r="D610">
        <v>6</v>
      </c>
      <c r="E610">
        <v>6</v>
      </c>
      <c r="F610">
        <f>ABS(D610)+1</f>
      </c>
      <c r="G610" t="str">
        <v>→ CP4</v>
      </c>
      <c r="H610" t="str">
        <v>VERY_STRONG</v>
      </c>
      <c r="I610">
        <f>IF(F610=1,1,IF(F610&lt;=3,1,IF(F610&lt;=5,3,IF(F610&lt;=7,5,7))))</f>
      </c>
      <c r="J610">
        <f>IF(F610=1,1,IF(F610&lt;=3,3,IF(F610&lt;=5,5,IF(F610&lt;=7,7,9))))</f>
      </c>
      <c r="K610">
        <f>IF(F610=1,1,IF(F610&lt;=3,5,IF(F610&lt;=5,7,IF(F610&lt;=7,9,9))))</f>
      </c>
      <c r="L610" s="1">
        <f>IF(D610&gt;0,1/K610,I610)</f>
      </c>
      <c r="M610" s="1">
        <f>IF(D610&gt;0,1/J610,J610)</f>
      </c>
      <c r="N610" s="1">
        <f>IF(D610&gt;0,1/I610,K610)</f>
      </c>
    </row>
    <row r="611">
      <c r="A611">
        <v>17</v>
      </c>
      <c r="B611" t="str">
        <v>CP3</v>
      </c>
      <c r="C611" t="str">
        <v>CP5</v>
      </c>
      <c r="D611">
        <v>4</v>
      </c>
      <c r="E611">
        <v>4</v>
      </c>
      <c r="F611">
        <f>ABS(D611)+1</f>
      </c>
      <c r="G611" t="str">
        <v>→ CP5</v>
      </c>
      <c r="H611" t="str">
        <v>STRONG</v>
      </c>
      <c r="I611">
        <f>IF(F611=1,1,IF(F611&lt;=3,1,IF(F611&lt;=5,3,IF(F611&lt;=7,5,7))))</f>
      </c>
      <c r="J611">
        <f>IF(F611=1,1,IF(F611&lt;=3,3,IF(F611&lt;=5,5,IF(F611&lt;=7,7,9))))</f>
      </c>
      <c r="K611">
        <f>IF(F611=1,1,IF(F611&lt;=3,5,IF(F611&lt;=5,7,IF(F611&lt;=7,9,9))))</f>
      </c>
      <c r="L611" s="1">
        <f>IF(D611&gt;0,1/K611,I611)</f>
      </c>
      <c r="M611" s="1">
        <f>IF(D611&gt;0,1/J611,J611)</f>
      </c>
      <c r="N611" s="1">
        <f>IF(D611&gt;0,1/I611,K611)</f>
      </c>
    </row>
    <row r="612">
      <c r="A612">
        <v>18</v>
      </c>
      <c r="B612" t="str">
        <v>CP3</v>
      </c>
      <c r="C612" t="str">
        <v>CP6</v>
      </c>
      <c r="D612">
        <v>4</v>
      </c>
      <c r="E612">
        <v>4</v>
      </c>
      <c r="F612">
        <f>ABS(D612)+1</f>
      </c>
      <c r="G612" t="str">
        <v>→ CP6</v>
      </c>
      <c r="H612" t="str">
        <v>STRONG</v>
      </c>
      <c r="I612">
        <f>IF(F612=1,1,IF(F612&lt;=3,1,IF(F612&lt;=5,3,IF(F612&lt;=7,5,7))))</f>
      </c>
      <c r="J612">
        <f>IF(F612=1,1,IF(F612&lt;=3,3,IF(F612&lt;=5,5,IF(F612&lt;=7,7,9))))</f>
      </c>
      <c r="K612">
        <f>IF(F612=1,1,IF(F612&lt;=3,5,IF(F612&lt;=5,7,IF(F612&lt;=7,9,9))))</f>
      </c>
      <c r="L612" s="1">
        <f>IF(D612&gt;0,1/K612,I612)</f>
      </c>
      <c r="M612" s="1">
        <f>IF(D612&gt;0,1/J612,J612)</f>
      </c>
      <c r="N612" s="1">
        <f>IF(D612&gt;0,1/I612,K612)</f>
      </c>
    </row>
    <row r="613">
      <c r="A613">
        <v>19</v>
      </c>
      <c r="B613" t="str">
        <v>CP3</v>
      </c>
      <c r="C613" t="str">
        <v>CP7</v>
      </c>
      <c r="D613">
        <v>3</v>
      </c>
      <c r="E613">
        <v>3</v>
      </c>
      <c r="F613">
        <f>ABS(D613)+1</f>
      </c>
      <c r="G613" t="str">
        <v>→ CP7</v>
      </c>
      <c r="H613" t="str">
        <v>STRONG</v>
      </c>
      <c r="I613">
        <f>IF(F613=1,1,IF(F613&lt;=3,1,IF(F613&lt;=5,3,IF(F613&lt;=7,5,7))))</f>
      </c>
      <c r="J613">
        <f>IF(F613=1,1,IF(F613&lt;=3,3,IF(F613&lt;=5,5,IF(F613&lt;=7,7,9))))</f>
      </c>
      <c r="K613">
        <f>IF(F613=1,1,IF(F613&lt;=3,5,IF(F613&lt;=5,7,IF(F613&lt;=7,9,9))))</f>
      </c>
      <c r="L613" s="1">
        <f>IF(D613&gt;0,1/K613,I613)</f>
      </c>
      <c r="M613" s="1">
        <f>IF(D613&gt;0,1/J613,J613)</f>
      </c>
      <c r="N613" s="1">
        <f>IF(D613&gt;0,1/I613,K613)</f>
      </c>
    </row>
    <row r="614">
      <c r="A614">
        <v>20</v>
      </c>
      <c r="B614" t="str">
        <v>CP3</v>
      </c>
      <c r="C614" t="str">
        <v>CP8</v>
      </c>
      <c r="D614">
        <v>4</v>
      </c>
      <c r="E614">
        <v>4</v>
      </c>
      <c r="F614">
        <f>ABS(D614)+1</f>
      </c>
      <c r="G614" t="str">
        <v>→ CP8</v>
      </c>
      <c r="H614" t="str">
        <v>STRONG</v>
      </c>
      <c r="I614">
        <f>IF(F614=1,1,IF(F614&lt;=3,1,IF(F614&lt;=5,3,IF(F614&lt;=7,5,7))))</f>
      </c>
      <c r="J614">
        <f>IF(F614=1,1,IF(F614&lt;=3,3,IF(F614&lt;=5,5,IF(F614&lt;=7,7,9))))</f>
      </c>
      <c r="K614">
        <f>IF(F614=1,1,IF(F614&lt;=3,5,IF(F614&lt;=5,7,IF(F614&lt;=7,9,9))))</f>
      </c>
      <c r="L614" s="1">
        <f>IF(D614&gt;0,1/K614,I614)</f>
      </c>
      <c r="M614" s="1">
        <f>IF(D614&gt;0,1/J614,J614)</f>
      </c>
      <c r="N614" s="1">
        <f>IF(D614&gt;0,1/I614,K614)</f>
      </c>
    </row>
    <row r="615">
      <c r="A615">
        <v>21</v>
      </c>
      <c r="B615" t="str">
        <v>CP3</v>
      </c>
      <c r="C615" t="str">
        <v>CP9</v>
      </c>
      <c r="D615">
        <v>4</v>
      </c>
      <c r="E615">
        <v>4</v>
      </c>
      <c r="F615">
        <f>ABS(D615)+1</f>
      </c>
      <c r="G615" t="str">
        <v>→ CP9</v>
      </c>
      <c r="H615" t="str">
        <v>STRONG</v>
      </c>
      <c r="I615">
        <f>IF(F615=1,1,IF(F615&lt;=3,1,IF(F615&lt;=5,3,IF(F615&lt;=7,5,7))))</f>
      </c>
      <c r="J615">
        <f>IF(F615=1,1,IF(F615&lt;=3,3,IF(F615&lt;=5,5,IF(F615&lt;=7,7,9))))</f>
      </c>
      <c r="K615">
        <f>IF(F615=1,1,IF(F615&lt;=3,5,IF(F615&lt;=5,7,IF(F615&lt;=7,9,9))))</f>
      </c>
      <c r="L615" s="1">
        <f>IF(D615&gt;0,1/K615,I615)</f>
      </c>
      <c r="M615" s="1">
        <f>IF(D615&gt;0,1/J615,J615)</f>
      </c>
      <c r="N615" s="1">
        <f>IF(D615&gt;0,1/I615,K615)</f>
      </c>
    </row>
    <row r="616">
      <c r="A616">
        <v>22</v>
      </c>
      <c r="B616" t="str">
        <v>CP4</v>
      </c>
      <c r="C616" t="str">
        <v>CP5</v>
      </c>
      <c r="D616">
        <v>0</v>
      </c>
      <c r="E616">
        <v>0</v>
      </c>
      <c r="F616">
        <f>ABS(D616)+1</f>
      </c>
      <c r="G616" t="str">
        <v>= Sama</v>
      </c>
      <c r="H616" t="str">
        <v>EQUAL</v>
      </c>
      <c r="I616">
        <f>IF(F616=1,1,IF(F616&lt;=3,1,IF(F616&lt;=5,3,IF(F616&lt;=7,5,7))))</f>
      </c>
      <c r="J616">
        <f>IF(F616=1,1,IF(F616&lt;=3,3,IF(F616&lt;=5,5,IF(F616&lt;=7,7,9))))</f>
      </c>
      <c r="K616">
        <f>IF(F616=1,1,IF(F616&lt;=3,5,IF(F616&lt;=5,7,IF(F616&lt;=7,9,9))))</f>
      </c>
      <c r="L616" s="1">
        <f>IF(D616&gt;0,1/K616,I616)</f>
      </c>
      <c r="M616" s="1">
        <f>IF(D616&gt;0,1/J616,J616)</f>
      </c>
      <c r="N616" s="1">
        <f>IF(D616&gt;0,1/I616,K616)</f>
      </c>
    </row>
    <row r="617">
      <c r="A617">
        <v>23</v>
      </c>
      <c r="B617" t="str">
        <v>CP4</v>
      </c>
      <c r="C617" t="str">
        <v>CP6</v>
      </c>
      <c r="D617">
        <v>-7</v>
      </c>
      <c r="E617">
        <v>7</v>
      </c>
      <c r="F617">
        <f>ABS(D617)+1</f>
      </c>
      <c r="G617" t="str">
        <v>← CP4</v>
      </c>
      <c r="H617" t="str">
        <v>EXTREME</v>
      </c>
      <c r="I617">
        <f>IF(F617=1,1,IF(F617&lt;=3,1,IF(F617&lt;=5,3,IF(F617&lt;=7,5,7))))</f>
      </c>
      <c r="J617">
        <f>IF(F617=1,1,IF(F617&lt;=3,3,IF(F617&lt;=5,5,IF(F617&lt;=7,7,9))))</f>
      </c>
      <c r="K617">
        <f>IF(F617=1,1,IF(F617&lt;=3,5,IF(F617&lt;=5,7,IF(F617&lt;=7,9,9))))</f>
      </c>
      <c r="L617" s="1">
        <f>IF(D617&gt;0,1/K617,I617)</f>
      </c>
      <c r="M617" s="1">
        <f>IF(D617&gt;0,1/J617,J617)</f>
      </c>
      <c r="N617" s="1">
        <f>IF(D617&gt;0,1/I617,K617)</f>
      </c>
    </row>
    <row r="618">
      <c r="A618">
        <v>24</v>
      </c>
      <c r="B618" t="str">
        <v>CP4</v>
      </c>
      <c r="C618" t="str">
        <v>CP7</v>
      </c>
      <c r="D618">
        <v>-7</v>
      </c>
      <c r="E618">
        <v>7</v>
      </c>
      <c r="F618">
        <f>ABS(D618)+1</f>
      </c>
      <c r="G618" t="str">
        <v>← CP4</v>
      </c>
      <c r="H618" t="str">
        <v>EXTREME</v>
      </c>
      <c r="I618">
        <f>IF(F618=1,1,IF(F618&lt;=3,1,IF(F618&lt;=5,3,IF(F618&lt;=7,5,7))))</f>
      </c>
      <c r="J618">
        <f>IF(F618=1,1,IF(F618&lt;=3,3,IF(F618&lt;=5,5,IF(F618&lt;=7,7,9))))</f>
      </c>
      <c r="K618">
        <f>IF(F618=1,1,IF(F618&lt;=3,5,IF(F618&lt;=5,7,IF(F618&lt;=7,9,9))))</f>
      </c>
      <c r="L618" s="1">
        <f>IF(D618&gt;0,1/K618,I618)</f>
      </c>
      <c r="M618" s="1">
        <f>IF(D618&gt;0,1/J618,J618)</f>
      </c>
      <c r="N618" s="1">
        <f>IF(D618&gt;0,1/I618,K618)</f>
      </c>
    </row>
    <row r="619">
      <c r="A619">
        <v>25</v>
      </c>
      <c r="B619" t="str">
        <v>CP4</v>
      </c>
      <c r="C619" t="str">
        <v>CP8</v>
      </c>
      <c r="D619">
        <v>-7</v>
      </c>
      <c r="E619">
        <v>7</v>
      </c>
      <c r="F619">
        <f>ABS(D619)+1</f>
      </c>
      <c r="G619" t="str">
        <v>← CP4</v>
      </c>
      <c r="H619" t="str">
        <v>EXTREME</v>
      </c>
      <c r="I619">
        <f>IF(F619=1,1,IF(F619&lt;=3,1,IF(F619&lt;=5,3,IF(F619&lt;=7,5,7))))</f>
      </c>
      <c r="J619">
        <f>IF(F619=1,1,IF(F619&lt;=3,3,IF(F619&lt;=5,5,IF(F619&lt;=7,7,9))))</f>
      </c>
      <c r="K619">
        <f>IF(F619=1,1,IF(F619&lt;=3,5,IF(F619&lt;=5,7,IF(F619&lt;=7,9,9))))</f>
      </c>
      <c r="L619" s="1">
        <f>IF(D619&gt;0,1/K619,I619)</f>
      </c>
      <c r="M619" s="1">
        <f>IF(D619&gt;0,1/J619,J619)</f>
      </c>
      <c r="N619" s="1">
        <f>IF(D619&gt;0,1/I619,K619)</f>
      </c>
    </row>
    <row r="620">
      <c r="A620">
        <v>26</v>
      </c>
      <c r="B620" t="str">
        <v>CP4</v>
      </c>
      <c r="C620" t="str">
        <v>CP9</v>
      </c>
      <c r="D620">
        <v>-5</v>
      </c>
      <c r="E620">
        <v>5</v>
      </c>
      <c r="F620">
        <f>ABS(D620)+1</f>
      </c>
      <c r="G620" t="str">
        <v>← CP4</v>
      </c>
      <c r="H620" t="str">
        <v>VERY_STRONG</v>
      </c>
      <c r="I620">
        <f>IF(F620=1,1,IF(F620&lt;=3,1,IF(F620&lt;=5,3,IF(F620&lt;=7,5,7))))</f>
      </c>
      <c r="J620">
        <f>IF(F620=1,1,IF(F620&lt;=3,3,IF(F620&lt;=5,5,IF(F620&lt;=7,7,9))))</f>
      </c>
      <c r="K620">
        <f>IF(F620=1,1,IF(F620&lt;=3,5,IF(F620&lt;=5,7,IF(F620&lt;=7,9,9))))</f>
      </c>
      <c r="L620" s="1">
        <f>IF(D620&gt;0,1/K620,I620)</f>
      </c>
      <c r="M620" s="1">
        <f>IF(D620&gt;0,1/J620,J620)</f>
      </c>
      <c r="N620" s="1">
        <f>IF(D620&gt;0,1/I620,K620)</f>
      </c>
    </row>
    <row r="621">
      <c r="A621">
        <v>27</v>
      </c>
      <c r="B621" t="str">
        <v>CP5</v>
      </c>
      <c r="C621" t="str">
        <v>CP6</v>
      </c>
      <c r="D621">
        <v>0</v>
      </c>
      <c r="E621">
        <v>0</v>
      </c>
      <c r="F621">
        <f>ABS(D621)+1</f>
      </c>
      <c r="G621" t="str">
        <v>= Sama</v>
      </c>
      <c r="H621" t="str">
        <v>EQUAL</v>
      </c>
      <c r="I621">
        <f>IF(F621=1,1,IF(F621&lt;=3,1,IF(F621&lt;=5,3,IF(F621&lt;=7,5,7))))</f>
      </c>
      <c r="J621">
        <f>IF(F621=1,1,IF(F621&lt;=3,3,IF(F621&lt;=5,5,IF(F621&lt;=7,7,9))))</f>
      </c>
      <c r="K621">
        <f>IF(F621=1,1,IF(F621&lt;=3,5,IF(F621&lt;=5,7,IF(F621&lt;=7,9,9))))</f>
      </c>
      <c r="L621" s="1">
        <f>IF(D621&gt;0,1/K621,I621)</f>
      </c>
      <c r="M621" s="1">
        <f>IF(D621&gt;0,1/J621,J621)</f>
      </c>
      <c r="N621" s="1">
        <f>IF(D621&gt;0,1/I621,K621)</f>
      </c>
    </row>
    <row r="622">
      <c r="A622">
        <v>28</v>
      </c>
      <c r="B622" t="str">
        <v>CP5</v>
      </c>
      <c r="C622" t="str">
        <v>CP7</v>
      </c>
      <c r="D622">
        <v>-6</v>
      </c>
      <c r="E622">
        <v>6</v>
      </c>
      <c r="F622">
        <f>ABS(D622)+1</f>
      </c>
      <c r="G622" t="str">
        <v>← CP5</v>
      </c>
      <c r="H622" t="str">
        <v>VERY_STRONG</v>
      </c>
      <c r="I622">
        <f>IF(F622=1,1,IF(F622&lt;=3,1,IF(F622&lt;=5,3,IF(F622&lt;=7,5,7))))</f>
      </c>
      <c r="J622">
        <f>IF(F622=1,1,IF(F622&lt;=3,3,IF(F622&lt;=5,5,IF(F622&lt;=7,7,9))))</f>
      </c>
      <c r="K622">
        <f>IF(F622=1,1,IF(F622&lt;=3,5,IF(F622&lt;=5,7,IF(F622&lt;=7,9,9))))</f>
      </c>
      <c r="L622" s="1">
        <f>IF(D622&gt;0,1/K622,I622)</f>
      </c>
      <c r="M622" s="1">
        <f>IF(D622&gt;0,1/J622,J622)</f>
      </c>
      <c r="N622" s="1">
        <f>IF(D622&gt;0,1/I622,K622)</f>
      </c>
    </row>
    <row r="623">
      <c r="A623">
        <v>29</v>
      </c>
      <c r="B623" t="str">
        <v>CP5</v>
      </c>
      <c r="C623" t="str">
        <v>CP8</v>
      </c>
      <c r="D623">
        <v>-6</v>
      </c>
      <c r="E623">
        <v>6</v>
      </c>
      <c r="F623">
        <f>ABS(D623)+1</f>
      </c>
      <c r="G623" t="str">
        <v>← CP5</v>
      </c>
      <c r="H623" t="str">
        <v>VERY_STRONG</v>
      </c>
      <c r="I623">
        <f>IF(F623=1,1,IF(F623&lt;=3,1,IF(F623&lt;=5,3,IF(F623&lt;=7,5,7))))</f>
      </c>
      <c r="J623">
        <f>IF(F623=1,1,IF(F623&lt;=3,3,IF(F623&lt;=5,5,IF(F623&lt;=7,7,9))))</f>
      </c>
      <c r="K623">
        <f>IF(F623=1,1,IF(F623&lt;=3,5,IF(F623&lt;=5,7,IF(F623&lt;=7,9,9))))</f>
      </c>
      <c r="L623" s="1">
        <f>IF(D623&gt;0,1/K623,I623)</f>
      </c>
      <c r="M623" s="1">
        <f>IF(D623&gt;0,1/J623,J623)</f>
      </c>
      <c r="N623" s="1">
        <f>IF(D623&gt;0,1/I623,K623)</f>
      </c>
    </row>
    <row r="624">
      <c r="A624">
        <v>30</v>
      </c>
      <c r="B624" t="str">
        <v>CP5</v>
      </c>
      <c r="C624" t="str">
        <v>CP9</v>
      </c>
      <c r="D624">
        <v>5</v>
      </c>
      <c r="E624">
        <v>5</v>
      </c>
      <c r="F624">
        <f>ABS(D624)+1</f>
      </c>
      <c r="G624" t="str">
        <v>→ CP9</v>
      </c>
      <c r="H624" t="str">
        <v>VERY_STRONG</v>
      </c>
      <c r="I624">
        <f>IF(F624=1,1,IF(F624&lt;=3,1,IF(F624&lt;=5,3,IF(F624&lt;=7,5,7))))</f>
      </c>
      <c r="J624">
        <f>IF(F624=1,1,IF(F624&lt;=3,3,IF(F624&lt;=5,5,IF(F624&lt;=7,7,9))))</f>
      </c>
      <c r="K624">
        <f>IF(F624=1,1,IF(F624&lt;=3,5,IF(F624&lt;=5,7,IF(F624&lt;=7,9,9))))</f>
      </c>
      <c r="L624" s="1">
        <f>IF(D624&gt;0,1/K624,I624)</f>
      </c>
      <c r="M624" s="1">
        <f>IF(D624&gt;0,1/J624,J624)</f>
      </c>
      <c r="N624" s="1">
        <f>IF(D624&gt;0,1/I624,K624)</f>
      </c>
    </row>
    <row r="625">
      <c r="A625">
        <v>31</v>
      </c>
      <c r="B625" t="str">
        <v>CP6</v>
      </c>
      <c r="C625" t="str">
        <v>CP7</v>
      </c>
      <c r="D625">
        <v>-6</v>
      </c>
      <c r="E625">
        <v>6</v>
      </c>
      <c r="F625">
        <f>ABS(D625)+1</f>
      </c>
      <c r="G625" t="str">
        <v>← CP6</v>
      </c>
      <c r="H625" t="str">
        <v>VERY_STRONG</v>
      </c>
      <c r="I625">
        <f>IF(F625=1,1,IF(F625&lt;=3,1,IF(F625&lt;=5,3,IF(F625&lt;=7,5,7))))</f>
      </c>
      <c r="J625">
        <f>IF(F625=1,1,IF(F625&lt;=3,3,IF(F625&lt;=5,5,IF(F625&lt;=7,7,9))))</f>
      </c>
      <c r="K625">
        <f>IF(F625=1,1,IF(F625&lt;=3,5,IF(F625&lt;=5,7,IF(F625&lt;=7,9,9))))</f>
      </c>
      <c r="L625" s="1">
        <f>IF(D625&gt;0,1/K625,I625)</f>
      </c>
      <c r="M625" s="1">
        <f>IF(D625&gt;0,1/J625,J625)</f>
      </c>
      <c r="N625" s="1">
        <f>IF(D625&gt;0,1/I625,K625)</f>
      </c>
    </row>
    <row r="626">
      <c r="A626">
        <v>32</v>
      </c>
      <c r="B626" t="str">
        <v>CP6</v>
      </c>
      <c r="C626" t="str">
        <v>CP8</v>
      </c>
      <c r="D626">
        <v>-6</v>
      </c>
      <c r="E626">
        <v>6</v>
      </c>
      <c r="F626">
        <f>ABS(D626)+1</f>
      </c>
      <c r="G626" t="str">
        <v>← CP6</v>
      </c>
      <c r="H626" t="str">
        <v>VERY_STRONG</v>
      </c>
      <c r="I626">
        <f>IF(F626=1,1,IF(F626&lt;=3,1,IF(F626&lt;=5,3,IF(F626&lt;=7,5,7))))</f>
      </c>
      <c r="J626">
        <f>IF(F626=1,1,IF(F626&lt;=3,3,IF(F626&lt;=5,5,IF(F626&lt;=7,7,9))))</f>
      </c>
      <c r="K626">
        <f>IF(F626=1,1,IF(F626&lt;=3,5,IF(F626&lt;=5,7,IF(F626&lt;=7,9,9))))</f>
      </c>
      <c r="L626" s="1">
        <f>IF(D626&gt;0,1/K626,I626)</f>
      </c>
      <c r="M626" s="1">
        <f>IF(D626&gt;0,1/J626,J626)</f>
      </c>
      <c r="N626" s="1">
        <f>IF(D626&gt;0,1/I626,K626)</f>
      </c>
    </row>
    <row r="627">
      <c r="A627">
        <v>33</v>
      </c>
      <c r="B627" t="str">
        <v>CP6</v>
      </c>
      <c r="C627" t="str">
        <v>CP9</v>
      </c>
      <c r="D627">
        <v>0</v>
      </c>
      <c r="E627">
        <v>0</v>
      </c>
      <c r="F627">
        <f>ABS(D627)+1</f>
      </c>
      <c r="G627" t="str">
        <v>= Sama</v>
      </c>
      <c r="H627" t="str">
        <v>EQUAL</v>
      </c>
      <c r="I627">
        <f>IF(F627=1,1,IF(F627&lt;=3,1,IF(F627&lt;=5,3,IF(F627&lt;=7,5,7))))</f>
      </c>
      <c r="J627">
        <f>IF(F627=1,1,IF(F627&lt;=3,3,IF(F627&lt;=5,5,IF(F627&lt;=7,7,9))))</f>
      </c>
      <c r="K627">
        <f>IF(F627=1,1,IF(F627&lt;=3,5,IF(F627&lt;=5,7,IF(F627&lt;=7,9,9))))</f>
      </c>
      <c r="L627" s="1">
        <f>IF(D627&gt;0,1/K627,I627)</f>
      </c>
      <c r="M627" s="1">
        <f>IF(D627&gt;0,1/J627,J627)</f>
      </c>
      <c r="N627" s="1">
        <f>IF(D627&gt;0,1/I627,K627)</f>
      </c>
    </row>
    <row r="628">
      <c r="A628">
        <v>34</v>
      </c>
      <c r="B628" t="str">
        <v>CP7</v>
      </c>
      <c r="C628" t="str">
        <v>CP8</v>
      </c>
      <c r="D628">
        <v>5</v>
      </c>
      <c r="E628">
        <v>5</v>
      </c>
      <c r="F628">
        <f>ABS(D628)+1</f>
      </c>
      <c r="G628" t="str">
        <v>→ CP8</v>
      </c>
      <c r="H628" t="str">
        <v>VERY_STRONG</v>
      </c>
      <c r="I628">
        <f>IF(F628=1,1,IF(F628&lt;=3,1,IF(F628&lt;=5,3,IF(F628&lt;=7,5,7))))</f>
      </c>
      <c r="J628">
        <f>IF(F628=1,1,IF(F628&lt;=3,3,IF(F628&lt;=5,5,IF(F628&lt;=7,7,9))))</f>
      </c>
      <c r="K628">
        <f>IF(F628=1,1,IF(F628&lt;=3,5,IF(F628&lt;=5,7,IF(F628&lt;=7,9,9))))</f>
      </c>
      <c r="L628" s="1">
        <f>IF(D628&gt;0,1/K628,I628)</f>
      </c>
      <c r="M628" s="1">
        <f>IF(D628&gt;0,1/J628,J628)</f>
      </c>
      <c r="N628" s="1">
        <f>IF(D628&gt;0,1/I628,K628)</f>
      </c>
    </row>
    <row r="629">
      <c r="A629">
        <v>35</v>
      </c>
      <c r="B629" t="str">
        <v>CP7</v>
      </c>
      <c r="C629" t="str">
        <v>CP9</v>
      </c>
      <c r="D629">
        <v>5</v>
      </c>
      <c r="E629">
        <v>5</v>
      </c>
      <c r="F629">
        <f>ABS(D629)+1</f>
      </c>
      <c r="G629" t="str">
        <v>→ CP9</v>
      </c>
      <c r="H629" t="str">
        <v>VERY_STRONG</v>
      </c>
      <c r="I629">
        <f>IF(F629=1,1,IF(F629&lt;=3,1,IF(F629&lt;=5,3,IF(F629&lt;=7,5,7))))</f>
      </c>
      <c r="J629">
        <f>IF(F629=1,1,IF(F629&lt;=3,3,IF(F629&lt;=5,5,IF(F629&lt;=7,7,9))))</f>
      </c>
      <c r="K629">
        <f>IF(F629=1,1,IF(F629&lt;=3,5,IF(F629&lt;=5,7,IF(F629&lt;=7,9,9))))</f>
      </c>
      <c r="L629" s="1">
        <f>IF(D629&gt;0,1/K629,I629)</f>
      </c>
      <c r="M629" s="1">
        <f>IF(D629&gt;0,1/J629,J629)</f>
      </c>
      <c r="N629" s="1">
        <f>IF(D629&gt;0,1/I629,K629)</f>
      </c>
    </row>
    <row r="630">
      <c r="A630">
        <v>36</v>
      </c>
      <c r="B630" t="str">
        <v>CP8</v>
      </c>
      <c r="C630" t="str">
        <v>CP9</v>
      </c>
      <c r="D630">
        <v>5</v>
      </c>
      <c r="E630">
        <v>5</v>
      </c>
      <c r="F630">
        <f>ABS(D630)+1</f>
      </c>
      <c r="G630" t="str">
        <v>→ CP9</v>
      </c>
      <c r="H630" t="str">
        <v>VERY_STRONG</v>
      </c>
      <c r="I630">
        <f>IF(F630=1,1,IF(F630&lt;=3,1,IF(F630&lt;=5,3,IF(F630&lt;=7,5,7))))</f>
      </c>
      <c r="J630">
        <f>IF(F630=1,1,IF(F630&lt;=3,3,IF(F630&lt;=5,5,IF(F630&lt;=7,7,9))))</f>
      </c>
      <c r="K630">
        <f>IF(F630=1,1,IF(F630&lt;=3,5,IF(F630&lt;=5,7,IF(F630&lt;=7,9,9))))</f>
      </c>
      <c r="L630" s="1">
        <f>IF(D630&gt;0,1/K630,I630)</f>
      </c>
      <c r="M630" s="1">
        <f>IF(D630&gt;0,1/J630,J630)</f>
      </c>
      <c r="N630" s="1">
        <f>IF(D630&gt;0,1/I630,K630)</f>
      </c>
    </row>
    <row r="633">
      <c r="A633" t="str">
        <v>═══ RESPONDEN 16: drh. Sri Rahmila Indris ═══</v>
      </c>
    </row>
    <row r="634">
      <c r="A634" t="str">
        <v>Jabatan: Medik Veteriner | Instansi: Dinas Peternakan dan Kesehatan Hewan Provinsi Riau</v>
      </c>
    </row>
    <row r="635">
      <c r="A635" t="str">
        <v>No</v>
      </c>
      <c r="B635" t="str">
        <v>Krit. A</v>
      </c>
      <c r="C635" t="str">
        <v>Krit. B</v>
      </c>
      <c r="D635" t="str">
        <v>Slider</v>
      </c>
      <c r="E635" t="str">
        <v>|Slider|</v>
      </c>
      <c r="F635" t="str">
        <v>absVal</v>
      </c>
      <c r="G635" t="str">
        <v>Arah</v>
      </c>
      <c r="H635" t="str">
        <v>Fuzzy</v>
      </c>
      <c r="I635" t="str">
        <v>l_orig</v>
      </c>
      <c r="J635" t="str">
        <v>m_orig</v>
      </c>
      <c r="K635" t="str">
        <v>u_orig</v>
      </c>
      <c r="L635" t="str">
        <v>TFN_l</v>
      </c>
      <c r="M635" t="str">
        <v>TFN_m</v>
      </c>
      <c r="N635" t="str">
        <v>TFN_u</v>
      </c>
    </row>
    <row r="636">
      <c r="A636">
        <v>1</v>
      </c>
      <c r="B636" t="str">
        <v>CP1</v>
      </c>
      <c r="C636" t="str">
        <v>CP2</v>
      </c>
      <c r="D636">
        <v>4</v>
      </c>
      <c r="E636">
        <v>4</v>
      </c>
      <c r="F636">
        <f>ABS(D636)+1</f>
      </c>
      <c r="G636" t="str">
        <v>→ CP2</v>
      </c>
      <c r="H636" t="str">
        <v>STRONG</v>
      </c>
      <c r="I636">
        <f>IF(F636=1,1,IF(F636&lt;=3,1,IF(F636&lt;=5,3,IF(F636&lt;=7,5,7))))</f>
      </c>
      <c r="J636">
        <f>IF(F636=1,1,IF(F636&lt;=3,3,IF(F636&lt;=5,5,IF(F636&lt;=7,7,9))))</f>
      </c>
      <c r="K636">
        <f>IF(F636=1,1,IF(F636&lt;=3,5,IF(F636&lt;=5,7,IF(F636&lt;=7,9,9))))</f>
      </c>
      <c r="L636" s="1">
        <f>IF(D636&gt;0,1/K636,I636)</f>
      </c>
      <c r="M636" s="1">
        <f>IF(D636&gt;0,1/J636,J636)</f>
      </c>
      <c r="N636" s="1">
        <f>IF(D636&gt;0,1/I636,K636)</f>
      </c>
    </row>
    <row r="637">
      <c r="A637">
        <v>2</v>
      </c>
      <c r="B637" t="str">
        <v>CP1</v>
      </c>
      <c r="C637" t="str">
        <v>CP3</v>
      </c>
      <c r="D637">
        <v>0</v>
      </c>
      <c r="E637">
        <v>0</v>
      </c>
      <c r="F637">
        <f>ABS(D637)+1</f>
      </c>
      <c r="G637" t="str">
        <v>= Sama</v>
      </c>
      <c r="H637" t="str">
        <v>EQUAL</v>
      </c>
      <c r="I637">
        <f>IF(F637=1,1,IF(F637&lt;=3,1,IF(F637&lt;=5,3,IF(F637&lt;=7,5,7))))</f>
      </c>
      <c r="J637">
        <f>IF(F637=1,1,IF(F637&lt;=3,3,IF(F637&lt;=5,5,IF(F637&lt;=7,7,9))))</f>
      </c>
      <c r="K637">
        <f>IF(F637=1,1,IF(F637&lt;=3,5,IF(F637&lt;=5,7,IF(F637&lt;=7,9,9))))</f>
      </c>
      <c r="L637" s="1">
        <f>IF(D637&gt;0,1/K637,I637)</f>
      </c>
      <c r="M637" s="1">
        <f>IF(D637&gt;0,1/J637,J637)</f>
      </c>
      <c r="N637" s="1">
        <f>IF(D637&gt;0,1/I637,K637)</f>
      </c>
    </row>
    <row r="638">
      <c r="A638">
        <v>3</v>
      </c>
      <c r="B638" t="str">
        <v>CP1</v>
      </c>
      <c r="C638" t="str">
        <v>CP4</v>
      </c>
      <c r="D638">
        <v>3</v>
      </c>
      <c r="E638">
        <v>3</v>
      </c>
      <c r="F638">
        <f>ABS(D638)+1</f>
      </c>
      <c r="G638" t="str">
        <v>→ CP4</v>
      </c>
      <c r="H638" t="str">
        <v>STRONG</v>
      </c>
      <c r="I638">
        <f>IF(F638=1,1,IF(F638&lt;=3,1,IF(F638&lt;=5,3,IF(F638&lt;=7,5,7))))</f>
      </c>
      <c r="J638">
        <f>IF(F638=1,1,IF(F638&lt;=3,3,IF(F638&lt;=5,5,IF(F638&lt;=7,7,9))))</f>
      </c>
      <c r="K638">
        <f>IF(F638=1,1,IF(F638&lt;=3,5,IF(F638&lt;=5,7,IF(F638&lt;=7,9,9))))</f>
      </c>
      <c r="L638" s="1">
        <f>IF(D638&gt;0,1/K638,I638)</f>
      </c>
      <c r="M638" s="1">
        <f>IF(D638&gt;0,1/J638,J638)</f>
      </c>
      <c r="N638" s="1">
        <f>IF(D638&gt;0,1/I638,K638)</f>
      </c>
    </row>
    <row r="639">
      <c r="A639">
        <v>4</v>
      </c>
      <c r="B639" t="str">
        <v>CP1</v>
      </c>
      <c r="C639" t="str">
        <v>CP5</v>
      </c>
      <c r="D639">
        <v>3</v>
      </c>
      <c r="E639">
        <v>3</v>
      </c>
      <c r="F639">
        <f>ABS(D639)+1</f>
      </c>
      <c r="G639" t="str">
        <v>→ CP5</v>
      </c>
      <c r="H639" t="str">
        <v>STRONG</v>
      </c>
      <c r="I639">
        <f>IF(F639=1,1,IF(F639&lt;=3,1,IF(F639&lt;=5,3,IF(F639&lt;=7,5,7))))</f>
      </c>
      <c r="J639">
        <f>IF(F639=1,1,IF(F639&lt;=3,3,IF(F639&lt;=5,5,IF(F639&lt;=7,7,9))))</f>
      </c>
      <c r="K639">
        <f>IF(F639=1,1,IF(F639&lt;=3,5,IF(F639&lt;=5,7,IF(F639&lt;=7,9,9))))</f>
      </c>
      <c r="L639" s="1">
        <f>IF(D639&gt;0,1/K639,I639)</f>
      </c>
      <c r="M639" s="1">
        <f>IF(D639&gt;0,1/J639,J639)</f>
      </c>
      <c r="N639" s="1">
        <f>IF(D639&gt;0,1/I639,K639)</f>
      </c>
    </row>
    <row r="640">
      <c r="A640">
        <v>5</v>
      </c>
      <c r="B640" t="str">
        <v>CP1</v>
      </c>
      <c r="C640" t="str">
        <v>CP6</v>
      </c>
      <c r="D640">
        <v>4</v>
      </c>
      <c r="E640">
        <v>4</v>
      </c>
      <c r="F640">
        <f>ABS(D640)+1</f>
      </c>
      <c r="G640" t="str">
        <v>→ CP6</v>
      </c>
      <c r="H640" t="str">
        <v>STRONG</v>
      </c>
      <c r="I640">
        <f>IF(F640=1,1,IF(F640&lt;=3,1,IF(F640&lt;=5,3,IF(F640&lt;=7,5,7))))</f>
      </c>
      <c r="J640">
        <f>IF(F640=1,1,IF(F640&lt;=3,3,IF(F640&lt;=5,5,IF(F640&lt;=7,7,9))))</f>
      </c>
      <c r="K640">
        <f>IF(F640=1,1,IF(F640&lt;=3,5,IF(F640&lt;=5,7,IF(F640&lt;=7,9,9))))</f>
      </c>
      <c r="L640" s="1">
        <f>IF(D640&gt;0,1/K640,I640)</f>
      </c>
      <c r="M640" s="1">
        <f>IF(D640&gt;0,1/J640,J640)</f>
      </c>
      <c r="N640" s="1">
        <f>IF(D640&gt;0,1/I640,K640)</f>
      </c>
    </row>
    <row r="641">
      <c r="A641">
        <v>6</v>
      </c>
      <c r="B641" t="str">
        <v>CP1</v>
      </c>
      <c r="C641" t="str">
        <v>CP7</v>
      </c>
      <c r="D641">
        <v>5</v>
      </c>
      <c r="E641">
        <v>5</v>
      </c>
      <c r="F641">
        <f>ABS(D641)+1</f>
      </c>
      <c r="G641" t="str">
        <v>→ CP7</v>
      </c>
      <c r="H641" t="str">
        <v>VERY_STRONG</v>
      </c>
      <c r="I641">
        <f>IF(F641=1,1,IF(F641&lt;=3,1,IF(F641&lt;=5,3,IF(F641&lt;=7,5,7))))</f>
      </c>
      <c r="J641">
        <f>IF(F641=1,1,IF(F641&lt;=3,3,IF(F641&lt;=5,5,IF(F641&lt;=7,7,9))))</f>
      </c>
      <c r="K641">
        <f>IF(F641=1,1,IF(F641&lt;=3,5,IF(F641&lt;=5,7,IF(F641&lt;=7,9,9))))</f>
      </c>
      <c r="L641" s="1">
        <f>IF(D641&gt;0,1/K641,I641)</f>
      </c>
      <c r="M641" s="1">
        <f>IF(D641&gt;0,1/J641,J641)</f>
      </c>
      <c r="N641" s="1">
        <f>IF(D641&gt;0,1/I641,K641)</f>
      </c>
    </row>
    <row r="642">
      <c r="A642">
        <v>7</v>
      </c>
      <c r="B642" t="str">
        <v>CP1</v>
      </c>
      <c r="C642" t="str">
        <v>CP8</v>
      </c>
      <c r="D642">
        <v>2</v>
      </c>
      <c r="E642">
        <v>2</v>
      </c>
      <c r="F642">
        <f>ABS(D642)+1</f>
      </c>
      <c r="G642" t="str">
        <v>→ CP8</v>
      </c>
      <c r="H642" t="str">
        <v>MODERATE</v>
      </c>
      <c r="I642">
        <f>IF(F642=1,1,IF(F642&lt;=3,1,IF(F642&lt;=5,3,IF(F642&lt;=7,5,7))))</f>
      </c>
      <c r="J642">
        <f>IF(F642=1,1,IF(F642&lt;=3,3,IF(F642&lt;=5,5,IF(F642&lt;=7,7,9))))</f>
      </c>
      <c r="K642">
        <f>IF(F642=1,1,IF(F642&lt;=3,5,IF(F642&lt;=5,7,IF(F642&lt;=7,9,9))))</f>
      </c>
      <c r="L642" s="1">
        <f>IF(D642&gt;0,1/K642,I642)</f>
      </c>
      <c r="M642" s="1">
        <f>IF(D642&gt;0,1/J642,J642)</f>
      </c>
      <c r="N642" s="1">
        <f>IF(D642&gt;0,1/I642,K642)</f>
      </c>
    </row>
    <row r="643">
      <c r="A643">
        <v>8</v>
      </c>
      <c r="B643" t="str">
        <v>CP1</v>
      </c>
      <c r="C643" t="str">
        <v>CP9</v>
      </c>
      <c r="D643">
        <v>3</v>
      </c>
      <c r="E643">
        <v>3</v>
      </c>
      <c r="F643">
        <f>ABS(D643)+1</f>
      </c>
      <c r="G643" t="str">
        <v>→ CP9</v>
      </c>
      <c r="H643" t="str">
        <v>STRONG</v>
      </c>
      <c r="I643">
        <f>IF(F643=1,1,IF(F643&lt;=3,1,IF(F643&lt;=5,3,IF(F643&lt;=7,5,7))))</f>
      </c>
      <c r="J643">
        <f>IF(F643=1,1,IF(F643&lt;=3,3,IF(F643&lt;=5,5,IF(F643&lt;=7,7,9))))</f>
      </c>
      <c r="K643">
        <f>IF(F643=1,1,IF(F643&lt;=3,5,IF(F643&lt;=5,7,IF(F643&lt;=7,9,9))))</f>
      </c>
      <c r="L643" s="1">
        <f>IF(D643&gt;0,1/K643,I643)</f>
      </c>
      <c r="M643" s="1">
        <f>IF(D643&gt;0,1/J643,J643)</f>
      </c>
      <c r="N643" s="1">
        <f>IF(D643&gt;0,1/I643,K643)</f>
      </c>
    </row>
    <row r="644">
      <c r="A644">
        <v>9</v>
      </c>
      <c r="B644" t="str">
        <v>CP2</v>
      </c>
      <c r="C644" t="str">
        <v>CP3</v>
      </c>
      <c r="D644">
        <v>-4</v>
      </c>
      <c r="E644">
        <v>4</v>
      </c>
      <c r="F644">
        <f>ABS(D644)+1</f>
      </c>
      <c r="G644" t="str">
        <v>← CP2</v>
      </c>
      <c r="H644" t="str">
        <v>STRONG</v>
      </c>
      <c r="I644">
        <f>IF(F644=1,1,IF(F644&lt;=3,1,IF(F644&lt;=5,3,IF(F644&lt;=7,5,7))))</f>
      </c>
      <c r="J644">
        <f>IF(F644=1,1,IF(F644&lt;=3,3,IF(F644&lt;=5,5,IF(F644&lt;=7,7,9))))</f>
      </c>
      <c r="K644">
        <f>IF(F644=1,1,IF(F644&lt;=3,5,IF(F644&lt;=5,7,IF(F644&lt;=7,9,9))))</f>
      </c>
      <c r="L644" s="1">
        <f>IF(D644&gt;0,1/K644,I644)</f>
      </c>
      <c r="M644" s="1">
        <f>IF(D644&gt;0,1/J644,J644)</f>
      </c>
      <c r="N644" s="1">
        <f>IF(D644&gt;0,1/I644,K644)</f>
      </c>
    </row>
    <row r="645">
      <c r="A645">
        <v>10</v>
      </c>
      <c r="B645" t="str">
        <v>CP2</v>
      </c>
      <c r="C645" t="str">
        <v>CP4</v>
      </c>
      <c r="D645">
        <v>2</v>
      </c>
      <c r="E645">
        <v>2</v>
      </c>
      <c r="F645">
        <f>ABS(D645)+1</f>
      </c>
      <c r="G645" t="str">
        <v>→ CP4</v>
      </c>
      <c r="H645" t="str">
        <v>MODERATE</v>
      </c>
      <c r="I645">
        <f>IF(F645=1,1,IF(F645&lt;=3,1,IF(F645&lt;=5,3,IF(F645&lt;=7,5,7))))</f>
      </c>
      <c r="J645">
        <f>IF(F645=1,1,IF(F645&lt;=3,3,IF(F645&lt;=5,5,IF(F645&lt;=7,7,9))))</f>
      </c>
      <c r="K645">
        <f>IF(F645=1,1,IF(F645&lt;=3,5,IF(F645&lt;=5,7,IF(F645&lt;=7,9,9))))</f>
      </c>
      <c r="L645" s="1">
        <f>IF(D645&gt;0,1/K645,I645)</f>
      </c>
      <c r="M645" s="1">
        <f>IF(D645&gt;0,1/J645,J645)</f>
      </c>
      <c r="N645" s="1">
        <f>IF(D645&gt;0,1/I645,K645)</f>
      </c>
    </row>
    <row r="646">
      <c r="A646">
        <v>11</v>
      </c>
      <c r="B646" t="str">
        <v>CP2</v>
      </c>
      <c r="C646" t="str">
        <v>CP5</v>
      </c>
      <c r="D646">
        <v>3</v>
      </c>
      <c r="E646">
        <v>3</v>
      </c>
      <c r="F646">
        <f>ABS(D646)+1</f>
      </c>
      <c r="G646" t="str">
        <v>→ CP5</v>
      </c>
      <c r="H646" t="str">
        <v>STRONG</v>
      </c>
      <c r="I646">
        <f>IF(F646=1,1,IF(F646&lt;=3,1,IF(F646&lt;=5,3,IF(F646&lt;=7,5,7))))</f>
      </c>
      <c r="J646">
        <f>IF(F646=1,1,IF(F646&lt;=3,3,IF(F646&lt;=5,5,IF(F646&lt;=7,7,9))))</f>
      </c>
      <c r="K646">
        <f>IF(F646=1,1,IF(F646&lt;=3,5,IF(F646&lt;=5,7,IF(F646&lt;=7,9,9))))</f>
      </c>
      <c r="L646" s="1">
        <f>IF(D646&gt;0,1/K646,I646)</f>
      </c>
      <c r="M646" s="1">
        <f>IF(D646&gt;0,1/J646,J646)</f>
      </c>
      <c r="N646" s="1">
        <f>IF(D646&gt;0,1/I646,K646)</f>
      </c>
    </row>
    <row r="647">
      <c r="A647">
        <v>12</v>
      </c>
      <c r="B647" t="str">
        <v>CP2</v>
      </c>
      <c r="C647" t="str">
        <v>CP6</v>
      </c>
      <c r="D647">
        <v>-1</v>
      </c>
      <c r="E647">
        <v>1</v>
      </c>
      <c r="F647">
        <f>ABS(D647)+1</f>
      </c>
      <c r="G647" t="str">
        <v>← CP2</v>
      </c>
      <c r="H647" t="str">
        <v>MODERATE</v>
      </c>
      <c r="I647">
        <f>IF(F647=1,1,IF(F647&lt;=3,1,IF(F647&lt;=5,3,IF(F647&lt;=7,5,7))))</f>
      </c>
      <c r="J647">
        <f>IF(F647=1,1,IF(F647&lt;=3,3,IF(F647&lt;=5,5,IF(F647&lt;=7,7,9))))</f>
      </c>
      <c r="K647">
        <f>IF(F647=1,1,IF(F647&lt;=3,5,IF(F647&lt;=5,7,IF(F647&lt;=7,9,9))))</f>
      </c>
      <c r="L647" s="1">
        <f>IF(D647&gt;0,1/K647,I647)</f>
      </c>
      <c r="M647" s="1">
        <f>IF(D647&gt;0,1/J647,J647)</f>
      </c>
      <c r="N647" s="1">
        <f>IF(D647&gt;0,1/I647,K647)</f>
      </c>
    </row>
    <row r="648">
      <c r="A648">
        <v>13</v>
      </c>
      <c r="B648" t="str">
        <v>CP2</v>
      </c>
      <c r="C648" t="str">
        <v>CP7</v>
      </c>
      <c r="D648">
        <v>2</v>
      </c>
      <c r="E648">
        <v>2</v>
      </c>
      <c r="F648">
        <f>ABS(D648)+1</f>
      </c>
      <c r="G648" t="str">
        <v>→ CP7</v>
      </c>
      <c r="H648" t="str">
        <v>MODERATE</v>
      </c>
      <c r="I648">
        <f>IF(F648=1,1,IF(F648&lt;=3,1,IF(F648&lt;=5,3,IF(F648&lt;=7,5,7))))</f>
      </c>
      <c r="J648">
        <f>IF(F648=1,1,IF(F648&lt;=3,3,IF(F648&lt;=5,5,IF(F648&lt;=7,7,9))))</f>
      </c>
      <c r="K648">
        <f>IF(F648=1,1,IF(F648&lt;=3,5,IF(F648&lt;=5,7,IF(F648&lt;=7,9,9))))</f>
      </c>
      <c r="L648" s="1">
        <f>IF(D648&gt;0,1/K648,I648)</f>
      </c>
      <c r="M648" s="1">
        <f>IF(D648&gt;0,1/J648,J648)</f>
      </c>
      <c r="N648" s="1">
        <f>IF(D648&gt;0,1/I648,K648)</f>
      </c>
    </row>
    <row r="649">
      <c r="A649">
        <v>14</v>
      </c>
      <c r="B649" t="str">
        <v>CP2</v>
      </c>
      <c r="C649" t="str">
        <v>CP8</v>
      </c>
      <c r="D649">
        <v>2</v>
      </c>
      <c r="E649">
        <v>2</v>
      </c>
      <c r="F649">
        <f>ABS(D649)+1</f>
      </c>
      <c r="G649" t="str">
        <v>→ CP8</v>
      </c>
      <c r="H649" t="str">
        <v>MODERATE</v>
      </c>
      <c r="I649">
        <f>IF(F649=1,1,IF(F649&lt;=3,1,IF(F649&lt;=5,3,IF(F649&lt;=7,5,7))))</f>
      </c>
      <c r="J649">
        <f>IF(F649=1,1,IF(F649&lt;=3,3,IF(F649&lt;=5,5,IF(F649&lt;=7,7,9))))</f>
      </c>
      <c r="K649">
        <f>IF(F649=1,1,IF(F649&lt;=3,5,IF(F649&lt;=5,7,IF(F649&lt;=7,9,9))))</f>
      </c>
      <c r="L649" s="1">
        <f>IF(D649&gt;0,1/K649,I649)</f>
      </c>
      <c r="M649" s="1">
        <f>IF(D649&gt;0,1/J649,J649)</f>
      </c>
      <c r="N649" s="1">
        <f>IF(D649&gt;0,1/I649,K649)</f>
      </c>
    </row>
    <row r="650">
      <c r="A650">
        <v>15</v>
      </c>
      <c r="B650" t="str">
        <v>CP2</v>
      </c>
      <c r="C650" t="str">
        <v>CP9</v>
      </c>
      <c r="D650">
        <v>2</v>
      </c>
      <c r="E650">
        <v>2</v>
      </c>
      <c r="F650">
        <f>ABS(D650)+1</f>
      </c>
      <c r="G650" t="str">
        <v>→ CP9</v>
      </c>
      <c r="H650" t="str">
        <v>MODERATE</v>
      </c>
      <c r="I650">
        <f>IF(F650=1,1,IF(F650&lt;=3,1,IF(F650&lt;=5,3,IF(F650&lt;=7,5,7))))</f>
      </c>
      <c r="J650">
        <f>IF(F650=1,1,IF(F650&lt;=3,3,IF(F650&lt;=5,5,IF(F650&lt;=7,7,9))))</f>
      </c>
      <c r="K650">
        <f>IF(F650=1,1,IF(F650&lt;=3,5,IF(F650&lt;=5,7,IF(F650&lt;=7,9,9))))</f>
      </c>
      <c r="L650" s="1">
        <f>IF(D650&gt;0,1/K650,I650)</f>
      </c>
      <c r="M650" s="1">
        <f>IF(D650&gt;0,1/J650,J650)</f>
      </c>
      <c r="N650" s="1">
        <f>IF(D650&gt;0,1/I650,K650)</f>
      </c>
    </row>
    <row r="651">
      <c r="A651">
        <v>16</v>
      </c>
      <c r="B651" t="str">
        <v>CP3</v>
      </c>
      <c r="C651" t="str">
        <v>CP4</v>
      </c>
      <c r="D651">
        <v>4</v>
      </c>
      <c r="E651">
        <v>4</v>
      </c>
      <c r="F651">
        <f>ABS(D651)+1</f>
      </c>
      <c r="G651" t="str">
        <v>→ CP4</v>
      </c>
      <c r="H651" t="str">
        <v>STRONG</v>
      </c>
      <c r="I651">
        <f>IF(F651=1,1,IF(F651&lt;=3,1,IF(F651&lt;=5,3,IF(F651&lt;=7,5,7))))</f>
      </c>
      <c r="J651">
        <f>IF(F651=1,1,IF(F651&lt;=3,3,IF(F651&lt;=5,5,IF(F651&lt;=7,7,9))))</f>
      </c>
      <c r="K651">
        <f>IF(F651=1,1,IF(F651&lt;=3,5,IF(F651&lt;=5,7,IF(F651&lt;=7,9,9))))</f>
      </c>
      <c r="L651" s="1">
        <f>IF(D651&gt;0,1/K651,I651)</f>
      </c>
      <c r="M651" s="1">
        <f>IF(D651&gt;0,1/J651,J651)</f>
      </c>
      <c r="N651" s="1">
        <f>IF(D651&gt;0,1/I651,K651)</f>
      </c>
    </row>
    <row r="652">
      <c r="A652">
        <v>17</v>
      </c>
      <c r="B652" t="str">
        <v>CP3</v>
      </c>
      <c r="C652" t="str">
        <v>CP5</v>
      </c>
      <c r="D652">
        <v>4</v>
      </c>
      <c r="E652">
        <v>4</v>
      </c>
      <c r="F652">
        <f>ABS(D652)+1</f>
      </c>
      <c r="G652" t="str">
        <v>→ CP5</v>
      </c>
      <c r="H652" t="str">
        <v>STRONG</v>
      </c>
      <c r="I652">
        <f>IF(F652=1,1,IF(F652&lt;=3,1,IF(F652&lt;=5,3,IF(F652&lt;=7,5,7))))</f>
      </c>
      <c r="J652">
        <f>IF(F652=1,1,IF(F652&lt;=3,3,IF(F652&lt;=5,5,IF(F652&lt;=7,7,9))))</f>
      </c>
      <c r="K652">
        <f>IF(F652=1,1,IF(F652&lt;=3,5,IF(F652&lt;=5,7,IF(F652&lt;=7,9,9))))</f>
      </c>
      <c r="L652" s="1">
        <f>IF(D652&gt;0,1/K652,I652)</f>
      </c>
      <c r="M652" s="1">
        <f>IF(D652&gt;0,1/J652,J652)</f>
      </c>
      <c r="N652" s="1">
        <f>IF(D652&gt;0,1/I652,K652)</f>
      </c>
    </row>
    <row r="653">
      <c r="A653">
        <v>18</v>
      </c>
      <c r="B653" t="str">
        <v>CP3</v>
      </c>
      <c r="C653" t="str">
        <v>CP6</v>
      </c>
      <c r="D653">
        <v>2</v>
      </c>
      <c r="E653">
        <v>2</v>
      </c>
      <c r="F653">
        <f>ABS(D653)+1</f>
      </c>
      <c r="G653" t="str">
        <v>→ CP6</v>
      </c>
      <c r="H653" t="str">
        <v>MODERATE</v>
      </c>
      <c r="I653">
        <f>IF(F653=1,1,IF(F653&lt;=3,1,IF(F653&lt;=5,3,IF(F653&lt;=7,5,7))))</f>
      </c>
      <c r="J653">
        <f>IF(F653=1,1,IF(F653&lt;=3,3,IF(F653&lt;=5,5,IF(F653&lt;=7,7,9))))</f>
      </c>
      <c r="K653">
        <f>IF(F653=1,1,IF(F653&lt;=3,5,IF(F653&lt;=5,7,IF(F653&lt;=7,9,9))))</f>
      </c>
      <c r="L653" s="1">
        <f>IF(D653&gt;0,1/K653,I653)</f>
      </c>
      <c r="M653" s="1">
        <f>IF(D653&gt;0,1/J653,J653)</f>
      </c>
      <c r="N653" s="1">
        <f>IF(D653&gt;0,1/I653,K653)</f>
      </c>
    </row>
    <row r="654">
      <c r="A654">
        <v>19</v>
      </c>
      <c r="B654" t="str">
        <v>CP3</v>
      </c>
      <c r="C654" t="str">
        <v>CP7</v>
      </c>
      <c r="D654">
        <v>1</v>
      </c>
      <c r="E654">
        <v>1</v>
      </c>
      <c r="F654">
        <f>ABS(D654)+1</f>
      </c>
      <c r="G654" t="str">
        <v>→ CP7</v>
      </c>
      <c r="H654" t="str">
        <v>MODERATE</v>
      </c>
      <c r="I654">
        <f>IF(F654=1,1,IF(F654&lt;=3,1,IF(F654&lt;=5,3,IF(F654&lt;=7,5,7))))</f>
      </c>
      <c r="J654">
        <f>IF(F654=1,1,IF(F654&lt;=3,3,IF(F654&lt;=5,5,IF(F654&lt;=7,7,9))))</f>
      </c>
      <c r="K654">
        <f>IF(F654=1,1,IF(F654&lt;=3,5,IF(F654&lt;=5,7,IF(F654&lt;=7,9,9))))</f>
      </c>
      <c r="L654" s="1">
        <f>IF(D654&gt;0,1/K654,I654)</f>
      </c>
      <c r="M654" s="1">
        <f>IF(D654&gt;0,1/J654,J654)</f>
      </c>
      <c r="N654" s="1">
        <f>IF(D654&gt;0,1/I654,K654)</f>
      </c>
    </row>
    <row r="655">
      <c r="A655">
        <v>20</v>
      </c>
      <c r="B655" t="str">
        <v>CP3</v>
      </c>
      <c r="C655" t="str">
        <v>CP8</v>
      </c>
      <c r="D655">
        <v>2</v>
      </c>
      <c r="E655">
        <v>2</v>
      </c>
      <c r="F655">
        <f>ABS(D655)+1</f>
      </c>
      <c r="G655" t="str">
        <v>→ CP8</v>
      </c>
      <c r="H655" t="str">
        <v>MODERATE</v>
      </c>
      <c r="I655">
        <f>IF(F655=1,1,IF(F655&lt;=3,1,IF(F655&lt;=5,3,IF(F655&lt;=7,5,7))))</f>
      </c>
      <c r="J655">
        <f>IF(F655=1,1,IF(F655&lt;=3,3,IF(F655&lt;=5,5,IF(F655&lt;=7,7,9))))</f>
      </c>
      <c r="K655">
        <f>IF(F655=1,1,IF(F655&lt;=3,5,IF(F655&lt;=5,7,IF(F655&lt;=7,9,9))))</f>
      </c>
      <c r="L655" s="1">
        <f>IF(D655&gt;0,1/K655,I655)</f>
      </c>
      <c r="M655" s="1">
        <f>IF(D655&gt;0,1/J655,J655)</f>
      </c>
      <c r="N655" s="1">
        <f>IF(D655&gt;0,1/I655,K655)</f>
      </c>
    </row>
    <row r="656">
      <c r="A656">
        <v>21</v>
      </c>
      <c r="B656" t="str">
        <v>CP3</v>
      </c>
      <c r="C656" t="str">
        <v>CP9</v>
      </c>
      <c r="D656">
        <v>2</v>
      </c>
      <c r="E656">
        <v>2</v>
      </c>
      <c r="F656">
        <f>ABS(D656)+1</f>
      </c>
      <c r="G656" t="str">
        <v>→ CP9</v>
      </c>
      <c r="H656" t="str">
        <v>MODERATE</v>
      </c>
      <c r="I656">
        <f>IF(F656=1,1,IF(F656&lt;=3,1,IF(F656&lt;=5,3,IF(F656&lt;=7,5,7))))</f>
      </c>
      <c r="J656">
        <f>IF(F656=1,1,IF(F656&lt;=3,3,IF(F656&lt;=5,5,IF(F656&lt;=7,7,9))))</f>
      </c>
      <c r="K656">
        <f>IF(F656=1,1,IF(F656&lt;=3,5,IF(F656&lt;=5,7,IF(F656&lt;=7,9,9))))</f>
      </c>
      <c r="L656" s="1">
        <f>IF(D656&gt;0,1/K656,I656)</f>
      </c>
      <c r="M656" s="1">
        <f>IF(D656&gt;0,1/J656,J656)</f>
      </c>
      <c r="N656" s="1">
        <f>IF(D656&gt;0,1/I656,K656)</f>
      </c>
    </row>
    <row r="657">
      <c r="A657">
        <v>22</v>
      </c>
      <c r="B657" t="str">
        <v>CP4</v>
      </c>
      <c r="C657" t="str">
        <v>CP5</v>
      </c>
      <c r="D657">
        <v>-2</v>
      </c>
      <c r="E657">
        <v>2</v>
      </c>
      <c r="F657">
        <f>ABS(D657)+1</f>
      </c>
      <c r="G657" t="str">
        <v>← CP4</v>
      </c>
      <c r="H657" t="str">
        <v>MODERATE</v>
      </c>
      <c r="I657">
        <f>IF(F657=1,1,IF(F657&lt;=3,1,IF(F657&lt;=5,3,IF(F657&lt;=7,5,7))))</f>
      </c>
      <c r="J657">
        <f>IF(F657=1,1,IF(F657&lt;=3,3,IF(F657&lt;=5,5,IF(F657&lt;=7,7,9))))</f>
      </c>
      <c r="K657">
        <f>IF(F657=1,1,IF(F657&lt;=3,5,IF(F657&lt;=5,7,IF(F657&lt;=7,9,9))))</f>
      </c>
      <c r="L657" s="1">
        <f>IF(D657&gt;0,1/K657,I657)</f>
      </c>
      <c r="M657" s="1">
        <f>IF(D657&gt;0,1/J657,J657)</f>
      </c>
      <c r="N657" s="1">
        <f>IF(D657&gt;0,1/I657,K657)</f>
      </c>
    </row>
    <row r="658">
      <c r="A658">
        <v>23</v>
      </c>
      <c r="B658" t="str">
        <v>CP4</v>
      </c>
      <c r="C658" t="str">
        <v>CP6</v>
      </c>
      <c r="D658">
        <v>-4</v>
      </c>
      <c r="E658">
        <v>4</v>
      </c>
      <c r="F658">
        <f>ABS(D658)+1</f>
      </c>
      <c r="G658" t="str">
        <v>← CP4</v>
      </c>
      <c r="H658" t="str">
        <v>STRONG</v>
      </c>
      <c r="I658">
        <f>IF(F658=1,1,IF(F658&lt;=3,1,IF(F658&lt;=5,3,IF(F658&lt;=7,5,7))))</f>
      </c>
      <c r="J658">
        <f>IF(F658=1,1,IF(F658&lt;=3,3,IF(F658&lt;=5,5,IF(F658&lt;=7,7,9))))</f>
      </c>
      <c r="K658">
        <f>IF(F658=1,1,IF(F658&lt;=3,5,IF(F658&lt;=5,7,IF(F658&lt;=7,9,9))))</f>
      </c>
      <c r="L658" s="1">
        <f>IF(D658&gt;0,1/K658,I658)</f>
      </c>
      <c r="M658" s="1">
        <f>IF(D658&gt;0,1/J658,J658)</f>
      </c>
      <c r="N658" s="1">
        <f>IF(D658&gt;0,1/I658,K658)</f>
      </c>
    </row>
    <row r="659">
      <c r="A659">
        <v>24</v>
      </c>
      <c r="B659" t="str">
        <v>CP4</v>
      </c>
      <c r="C659" t="str">
        <v>CP7</v>
      </c>
      <c r="D659">
        <v>-1</v>
      </c>
      <c r="E659">
        <v>1</v>
      </c>
      <c r="F659">
        <f>ABS(D659)+1</f>
      </c>
      <c r="G659" t="str">
        <v>← CP4</v>
      </c>
      <c r="H659" t="str">
        <v>MODERATE</v>
      </c>
      <c r="I659">
        <f>IF(F659=1,1,IF(F659&lt;=3,1,IF(F659&lt;=5,3,IF(F659&lt;=7,5,7))))</f>
      </c>
      <c r="J659">
        <f>IF(F659=1,1,IF(F659&lt;=3,3,IF(F659&lt;=5,5,IF(F659&lt;=7,7,9))))</f>
      </c>
      <c r="K659">
        <f>IF(F659=1,1,IF(F659&lt;=3,5,IF(F659&lt;=5,7,IF(F659&lt;=7,9,9))))</f>
      </c>
      <c r="L659" s="1">
        <f>IF(D659&gt;0,1/K659,I659)</f>
      </c>
      <c r="M659" s="1">
        <f>IF(D659&gt;0,1/J659,J659)</f>
      </c>
      <c r="N659" s="1">
        <f>IF(D659&gt;0,1/I659,K659)</f>
      </c>
    </row>
    <row r="660">
      <c r="A660">
        <v>25</v>
      </c>
      <c r="B660" t="str">
        <v>CP4</v>
      </c>
      <c r="C660" t="str">
        <v>CP8</v>
      </c>
      <c r="D660">
        <v>-4</v>
      </c>
      <c r="E660">
        <v>4</v>
      </c>
      <c r="F660">
        <f>ABS(D660)+1</f>
      </c>
      <c r="G660" t="str">
        <v>← CP4</v>
      </c>
      <c r="H660" t="str">
        <v>STRONG</v>
      </c>
      <c r="I660">
        <f>IF(F660=1,1,IF(F660&lt;=3,1,IF(F660&lt;=5,3,IF(F660&lt;=7,5,7))))</f>
      </c>
      <c r="J660">
        <f>IF(F660=1,1,IF(F660&lt;=3,3,IF(F660&lt;=5,5,IF(F660&lt;=7,7,9))))</f>
      </c>
      <c r="K660">
        <f>IF(F660=1,1,IF(F660&lt;=3,5,IF(F660&lt;=5,7,IF(F660&lt;=7,9,9))))</f>
      </c>
      <c r="L660" s="1">
        <f>IF(D660&gt;0,1/K660,I660)</f>
      </c>
      <c r="M660" s="1">
        <f>IF(D660&gt;0,1/J660,J660)</f>
      </c>
      <c r="N660" s="1">
        <f>IF(D660&gt;0,1/I660,K660)</f>
      </c>
    </row>
    <row r="661">
      <c r="A661">
        <v>26</v>
      </c>
      <c r="B661" t="str">
        <v>CP4</v>
      </c>
      <c r="C661" t="str">
        <v>CP9</v>
      </c>
      <c r="D661">
        <v>-2</v>
      </c>
      <c r="E661">
        <v>2</v>
      </c>
      <c r="F661">
        <f>ABS(D661)+1</f>
      </c>
      <c r="G661" t="str">
        <v>← CP4</v>
      </c>
      <c r="H661" t="str">
        <v>MODERATE</v>
      </c>
      <c r="I661">
        <f>IF(F661=1,1,IF(F661&lt;=3,1,IF(F661&lt;=5,3,IF(F661&lt;=7,5,7))))</f>
      </c>
      <c r="J661">
        <f>IF(F661=1,1,IF(F661&lt;=3,3,IF(F661&lt;=5,5,IF(F661&lt;=7,7,9))))</f>
      </c>
      <c r="K661">
        <f>IF(F661=1,1,IF(F661&lt;=3,5,IF(F661&lt;=5,7,IF(F661&lt;=7,9,9))))</f>
      </c>
      <c r="L661" s="1">
        <f>IF(D661&gt;0,1/K661,I661)</f>
      </c>
      <c r="M661" s="1">
        <f>IF(D661&gt;0,1/J661,J661)</f>
      </c>
      <c r="N661" s="1">
        <f>IF(D661&gt;0,1/I661,K661)</f>
      </c>
    </row>
    <row r="662">
      <c r="A662">
        <v>27</v>
      </c>
      <c r="B662" t="str">
        <v>CP5</v>
      </c>
      <c r="C662" t="str">
        <v>CP6</v>
      </c>
      <c r="D662">
        <v>-2</v>
      </c>
      <c r="E662">
        <v>2</v>
      </c>
      <c r="F662">
        <f>ABS(D662)+1</f>
      </c>
      <c r="G662" t="str">
        <v>← CP5</v>
      </c>
      <c r="H662" t="str">
        <v>MODERATE</v>
      </c>
      <c r="I662">
        <f>IF(F662=1,1,IF(F662&lt;=3,1,IF(F662&lt;=5,3,IF(F662&lt;=7,5,7))))</f>
      </c>
      <c r="J662">
        <f>IF(F662=1,1,IF(F662&lt;=3,3,IF(F662&lt;=5,5,IF(F662&lt;=7,7,9))))</f>
      </c>
      <c r="K662">
        <f>IF(F662=1,1,IF(F662&lt;=3,5,IF(F662&lt;=5,7,IF(F662&lt;=7,9,9))))</f>
      </c>
      <c r="L662" s="1">
        <f>IF(D662&gt;0,1/K662,I662)</f>
      </c>
      <c r="M662" s="1">
        <f>IF(D662&gt;0,1/J662,J662)</f>
      </c>
      <c r="N662" s="1">
        <f>IF(D662&gt;0,1/I662,K662)</f>
      </c>
    </row>
    <row r="663">
      <c r="A663">
        <v>28</v>
      </c>
      <c r="B663" t="str">
        <v>CP5</v>
      </c>
      <c r="C663" t="str">
        <v>CP7</v>
      </c>
      <c r="D663">
        <v>-2</v>
      </c>
      <c r="E663">
        <v>2</v>
      </c>
      <c r="F663">
        <f>ABS(D663)+1</f>
      </c>
      <c r="G663" t="str">
        <v>← CP5</v>
      </c>
      <c r="H663" t="str">
        <v>MODERATE</v>
      </c>
      <c r="I663">
        <f>IF(F663=1,1,IF(F663&lt;=3,1,IF(F663&lt;=5,3,IF(F663&lt;=7,5,7))))</f>
      </c>
      <c r="J663">
        <f>IF(F663=1,1,IF(F663&lt;=3,3,IF(F663&lt;=5,5,IF(F663&lt;=7,7,9))))</f>
      </c>
      <c r="K663">
        <f>IF(F663=1,1,IF(F663&lt;=3,5,IF(F663&lt;=5,7,IF(F663&lt;=7,9,9))))</f>
      </c>
      <c r="L663" s="1">
        <f>IF(D663&gt;0,1/K663,I663)</f>
      </c>
      <c r="M663" s="1">
        <f>IF(D663&gt;0,1/J663,J663)</f>
      </c>
      <c r="N663" s="1">
        <f>IF(D663&gt;0,1/I663,K663)</f>
      </c>
    </row>
    <row r="664">
      <c r="A664">
        <v>29</v>
      </c>
      <c r="B664" t="str">
        <v>CP5</v>
      </c>
      <c r="C664" t="str">
        <v>CP8</v>
      </c>
      <c r="D664">
        <v>-2</v>
      </c>
      <c r="E664">
        <v>2</v>
      </c>
      <c r="F664">
        <f>ABS(D664)+1</f>
      </c>
      <c r="G664" t="str">
        <v>← CP5</v>
      </c>
      <c r="H664" t="str">
        <v>MODERATE</v>
      </c>
      <c r="I664">
        <f>IF(F664=1,1,IF(F664&lt;=3,1,IF(F664&lt;=5,3,IF(F664&lt;=7,5,7))))</f>
      </c>
      <c r="J664">
        <f>IF(F664=1,1,IF(F664&lt;=3,3,IF(F664&lt;=5,5,IF(F664&lt;=7,7,9))))</f>
      </c>
      <c r="K664">
        <f>IF(F664=1,1,IF(F664&lt;=3,5,IF(F664&lt;=5,7,IF(F664&lt;=7,9,9))))</f>
      </c>
      <c r="L664" s="1">
        <f>IF(D664&gt;0,1/K664,I664)</f>
      </c>
      <c r="M664" s="1">
        <f>IF(D664&gt;0,1/J664,J664)</f>
      </c>
      <c r="N664" s="1">
        <f>IF(D664&gt;0,1/I664,K664)</f>
      </c>
    </row>
    <row r="665">
      <c r="A665">
        <v>30</v>
      </c>
      <c r="B665" t="str">
        <v>CP5</v>
      </c>
      <c r="C665" t="str">
        <v>CP9</v>
      </c>
      <c r="D665">
        <v>-2</v>
      </c>
      <c r="E665">
        <v>2</v>
      </c>
      <c r="F665">
        <f>ABS(D665)+1</f>
      </c>
      <c r="G665" t="str">
        <v>← CP5</v>
      </c>
      <c r="H665" t="str">
        <v>MODERATE</v>
      </c>
      <c r="I665">
        <f>IF(F665=1,1,IF(F665&lt;=3,1,IF(F665&lt;=5,3,IF(F665&lt;=7,5,7))))</f>
      </c>
      <c r="J665">
        <f>IF(F665=1,1,IF(F665&lt;=3,3,IF(F665&lt;=5,5,IF(F665&lt;=7,7,9))))</f>
      </c>
      <c r="K665">
        <f>IF(F665=1,1,IF(F665&lt;=3,5,IF(F665&lt;=5,7,IF(F665&lt;=7,9,9))))</f>
      </c>
      <c r="L665" s="1">
        <f>IF(D665&gt;0,1/K665,I665)</f>
      </c>
      <c r="M665" s="1">
        <f>IF(D665&gt;0,1/J665,J665)</f>
      </c>
      <c r="N665" s="1">
        <f>IF(D665&gt;0,1/I665,K665)</f>
      </c>
    </row>
    <row r="666">
      <c r="A666">
        <v>31</v>
      </c>
      <c r="B666" t="str">
        <v>CP6</v>
      </c>
      <c r="C666" t="str">
        <v>CP7</v>
      </c>
      <c r="D666">
        <v>3</v>
      </c>
      <c r="E666">
        <v>3</v>
      </c>
      <c r="F666">
        <f>ABS(D666)+1</f>
      </c>
      <c r="G666" t="str">
        <v>→ CP7</v>
      </c>
      <c r="H666" t="str">
        <v>STRONG</v>
      </c>
      <c r="I666">
        <f>IF(F666=1,1,IF(F666&lt;=3,1,IF(F666&lt;=5,3,IF(F666&lt;=7,5,7))))</f>
      </c>
      <c r="J666">
        <f>IF(F666=1,1,IF(F666&lt;=3,3,IF(F666&lt;=5,5,IF(F666&lt;=7,7,9))))</f>
      </c>
      <c r="K666">
        <f>IF(F666=1,1,IF(F666&lt;=3,5,IF(F666&lt;=5,7,IF(F666&lt;=7,9,9))))</f>
      </c>
      <c r="L666" s="1">
        <f>IF(D666&gt;0,1/K666,I666)</f>
      </c>
      <c r="M666" s="1">
        <f>IF(D666&gt;0,1/J666,J666)</f>
      </c>
      <c r="N666" s="1">
        <f>IF(D666&gt;0,1/I666,K666)</f>
      </c>
    </row>
    <row r="667">
      <c r="A667">
        <v>32</v>
      </c>
      <c r="B667" t="str">
        <v>CP6</v>
      </c>
      <c r="C667" t="str">
        <v>CP8</v>
      </c>
      <c r="D667">
        <v>2</v>
      </c>
      <c r="E667">
        <v>2</v>
      </c>
      <c r="F667">
        <f>ABS(D667)+1</f>
      </c>
      <c r="G667" t="str">
        <v>→ CP8</v>
      </c>
      <c r="H667" t="str">
        <v>MODERATE</v>
      </c>
      <c r="I667">
        <f>IF(F667=1,1,IF(F667&lt;=3,1,IF(F667&lt;=5,3,IF(F667&lt;=7,5,7))))</f>
      </c>
      <c r="J667">
        <f>IF(F667=1,1,IF(F667&lt;=3,3,IF(F667&lt;=5,5,IF(F667&lt;=7,7,9))))</f>
      </c>
      <c r="K667">
        <f>IF(F667=1,1,IF(F667&lt;=3,5,IF(F667&lt;=5,7,IF(F667&lt;=7,9,9))))</f>
      </c>
      <c r="L667" s="1">
        <f>IF(D667&gt;0,1/K667,I667)</f>
      </c>
      <c r="M667" s="1">
        <f>IF(D667&gt;0,1/J667,J667)</f>
      </c>
      <c r="N667" s="1">
        <f>IF(D667&gt;0,1/I667,K667)</f>
      </c>
    </row>
    <row r="668">
      <c r="A668">
        <v>33</v>
      </c>
      <c r="B668" t="str">
        <v>CP6</v>
      </c>
      <c r="C668" t="str">
        <v>CP9</v>
      </c>
      <c r="D668">
        <v>2</v>
      </c>
      <c r="E668">
        <v>2</v>
      </c>
      <c r="F668">
        <f>ABS(D668)+1</f>
      </c>
      <c r="G668" t="str">
        <v>→ CP9</v>
      </c>
      <c r="H668" t="str">
        <v>MODERATE</v>
      </c>
      <c r="I668">
        <f>IF(F668=1,1,IF(F668&lt;=3,1,IF(F668&lt;=5,3,IF(F668&lt;=7,5,7))))</f>
      </c>
      <c r="J668">
        <f>IF(F668=1,1,IF(F668&lt;=3,3,IF(F668&lt;=5,5,IF(F668&lt;=7,7,9))))</f>
      </c>
      <c r="K668">
        <f>IF(F668=1,1,IF(F668&lt;=3,5,IF(F668&lt;=5,7,IF(F668&lt;=7,9,9))))</f>
      </c>
      <c r="L668" s="1">
        <f>IF(D668&gt;0,1/K668,I668)</f>
      </c>
      <c r="M668" s="1">
        <f>IF(D668&gt;0,1/J668,J668)</f>
      </c>
      <c r="N668" s="1">
        <f>IF(D668&gt;0,1/I668,K668)</f>
      </c>
    </row>
    <row r="669">
      <c r="A669">
        <v>34</v>
      </c>
      <c r="B669" t="str">
        <v>CP7</v>
      </c>
      <c r="C669" t="str">
        <v>CP8</v>
      </c>
      <c r="D669">
        <v>3</v>
      </c>
      <c r="E669">
        <v>3</v>
      </c>
      <c r="F669">
        <f>ABS(D669)+1</f>
      </c>
      <c r="G669" t="str">
        <v>→ CP8</v>
      </c>
      <c r="H669" t="str">
        <v>STRONG</v>
      </c>
      <c r="I669">
        <f>IF(F669=1,1,IF(F669&lt;=3,1,IF(F669&lt;=5,3,IF(F669&lt;=7,5,7))))</f>
      </c>
      <c r="J669">
        <f>IF(F669=1,1,IF(F669&lt;=3,3,IF(F669&lt;=5,5,IF(F669&lt;=7,7,9))))</f>
      </c>
      <c r="K669">
        <f>IF(F669=1,1,IF(F669&lt;=3,5,IF(F669&lt;=5,7,IF(F669&lt;=7,9,9))))</f>
      </c>
      <c r="L669" s="1">
        <f>IF(D669&gt;0,1/K669,I669)</f>
      </c>
      <c r="M669" s="1">
        <f>IF(D669&gt;0,1/J669,J669)</f>
      </c>
      <c r="N669" s="1">
        <f>IF(D669&gt;0,1/I669,K669)</f>
      </c>
    </row>
    <row r="670">
      <c r="A670">
        <v>35</v>
      </c>
      <c r="B670" t="str">
        <v>CP7</v>
      </c>
      <c r="C670" t="str">
        <v>CP9</v>
      </c>
      <c r="D670">
        <v>2</v>
      </c>
      <c r="E670">
        <v>2</v>
      </c>
      <c r="F670">
        <f>ABS(D670)+1</f>
      </c>
      <c r="G670" t="str">
        <v>→ CP9</v>
      </c>
      <c r="H670" t="str">
        <v>MODERATE</v>
      </c>
      <c r="I670">
        <f>IF(F670=1,1,IF(F670&lt;=3,1,IF(F670&lt;=5,3,IF(F670&lt;=7,5,7))))</f>
      </c>
      <c r="J670">
        <f>IF(F670=1,1,IF(F670&lt;=3,3,IF(F670&lt;=5,5,IF(F670&lt;=7,7,9))))</f>
      </c>
      <c r="K670">
        <f>IF(F670=1,1,IF(F670&lt;=3,5,IF(F670&lt;=5,7,IF(F670&lt;=7,9,9))))</f>
      </c>
      <c r="L670" s="1">
        <f>IF(D670&gt;0,1/K670,I670)</f>
      </c>
      <c r="M670" s="1">
        <f>IF(D670&gt;0,1/J670,J670)</f>
      </c>
      <c r="N670" s="1">
        <f>IF(D670&gt;0,1/I670,K670)</f>
      </c>
    </row>
    <row r="671">
      <c r="A671">
        <v>36</v>
      </c>
      <c r="B671" t="str">
        <v>CP8</v>
      </c>
      <c r="C671" t="str">
        <v>CP9</v>
      </c>
      <c r="D671">
        <v>0</v>
      </c>
      <c r="E671">
        <v>0</v>
      </c>
      <c r="F671">
        <f>ABS(D671)+1</f>
      </c>
      <c r="G671" t="str">
        <v>= Sama</v>
      </c>
      <c r="H671" t="str">
        <v>EQUAL</v>
      </c>
      <c r="I671">
        <f>IF(F671=1,1,IF(F671&lt;=3,1,IF(F671&lt;=5,3,IF(F671&lt;=7,5,7))))</f>
      </c>
      <c r="J671">
        <f>IF(F671=1,1,IF(F671&lt;=3,3,IF(F671&lt;=5,5,IF(F671&lt;=7,7,9))))</f>
      </c>
      <c r="K671">
        <f>IF(F671=1,1,IF(F671&lt;=3,5,IF(F671&lt;=5,7,IF(F671&lt;=7,9,9))))</f>
      </c>
      <c r="L671" s="1">
        <f>IF(D671&gt;0,1/K671,I671)</f>
      </c>
      <c r="M671" s="1">
        <f>IF(D671&gt;0,1/J671,J671)</f>
      </c>
      <c r="N671" s="1">
        <f>IF(D671&gt;0,1/I671,K671)</f>
      </c>
    </row>
    <row r="674">
      <c r="A674" t="str">
        <v>═══ RESPONDEN 17: Ardini Oktavia ═══</v>
      </c>
    </row>
    <row r="675">
      <c r="A675" t="str">
        <v>Jabatan: Penelaah Teknis Kebijakan | Instansi: Dinas Peternakan dan Kesehatan Hewan Provinsi Riau</v>
      </c>
    </row>
    <row r="676">
      <c r="A676" t="str">
        <v>No</v>
      </c>
      <c r="B676" t="str">
        <v>Krit. A</v>
      </c>
      <c r="C676" t="str">
        <v>Krit. B</v>
      </c>
      <c r="D676" t="str">
        <v>Slider</v>
      </c>
      <c r="E676" t="str">
        <v>|Slider|</v>
      </c>
      <c r="F676" t="str">
        <v>absVal</v>
      </c>
      <c r="G676" t="str">
        <v>Arah</v>
      </c>
      <c r="H676" t="str">
        <v>Fuzzy</v>
      </c>
      <c r="I676" t="str">
        <v>l_orig</v>
      </c>
      <c r="J676" t="str">
        <v>m_orig</v>
      </c>
      <c r="K676" t="str">
        <v>u_orig</v>
      </c>
      <c r="L676" t="str">
        <v>TFN_l</v>
      </c>
      <c r="M676" t="str">
        <v>TFN_m</v>
      </c>
      <c r="N676" t="str">
        <v>TFN_u</v>
      </c>
    </row>
    <row r="677">
      <c r="A677">
        <v>1</v>
      </c>
      <c r="B677" t="str">
        <v>CP1</v>
      </c>
      <c r="C677" t="str">
        <v>CP2</v>
      </c>
      <c r="D677">
        <v>5</v>
      </c>
      <c r="E677">
        <v>5</v>
      </c>
      <c r="F677">
        <f>ABS(D677)+1</f>
      </c>
      <c r="G677" t="str">
        <v>→ CP2</v>
      </c>
      <c r="H677" t="str">
        <v>VERY_STRONG</v>
      </c>
      <c r="I677">
        <f>IF(F677=1,1,IF(F677&lt;=3,1,IF(F677&lt;=5,3,IF(F677&lt;=7,5,7))))</f>
      </c>
      <c r="J677">
        <f>IF(F677=1,1,IF(F677&lt;=3,3,IF(F677&lt;=5,5,IF(F677&lt;=7,7,9))))</f>
      </c>
      <c r="K677">
        <f>IF(F677=1,1,IF(F677&lt;=3,5,IF(F677&lt;=5,7,IF(F677&lt;=7,9,9))))</f>
      </c>
      <c r="L677" s="1">
        <f>IF(D677&gt;0,1/K677,I677)</f>
      </c>
      <c r="M677" s="1">
        <f>IF(D677&gt;0,1/J677,J677)</f>
      </c>
      <c r="N677" s="1">
        <f>IF(D677&gt;0,1/I677,K677)</f>
      </c>
    </row>
    <row r="678">
      <c r="A678">
        <v>2</v>
      </c>
      <c r="B678" t="str">
        <v>CP1</v>
      </c>
      <c r="C678" t="str">
        <v>CP3</v>
      </c>
      <c r="D678">
        <v>5</v>
      </c>
      <c r="E678">
        <v>5</v>
      </c>
      <c r="F678">
        <f>ABS(D678)+1</f>
      </c>
      <c r="G678" t="str">
        <v>→ CP3</v>
      </c>
      <c r="H678" t="str">
        <v>VERY_STRONG</v>
      </c>
      <c r="I678">
        <f>IF(F678=1,1,IF(F678&lt;=3,1,IF(F678&lt;=5,3,IF(F678&lt;=7,5,7))))</f>
      </c>
      <c r="J678">
        <f>IF(F678=1,1,IF(F678&lt;=3,3,IF(F678&lt;=5,5,IF(F678&lt;=7,7,9))))</f>
      </c>
      <c r="K678">
        <f>IF(F678=1,1,IF(F678&lt;=3,5,IF(F678&lt;=5,7,IF(F678&lt;=7,9,9))))</f>
      </c>
      <c r="L678" s="1">
        <f>IF(D678&gt;0,1/K678,I678)</f>
      </c>
      <c r="M678" s="1">
        <f>IF(D678&gt;0,1/J678,J678)</f>
      </c>
      <c r="N678" s="1">
        <f>IF(D678&gt;0,1/I678,K678)</f>
      </c>
    </row>
    <row r="679">
      <c r="A679">
        <v>3</v>
      </c>
      <c r="B679" t="str">
        <v>CP1</v>
      </c>
      <c r="C679" t="str">
        <v>CP4</v>
      </c>
      <c r="D679">
        <v>3</v>
      </c>
      <c r="E679">
        <v>3</v>
      </c>
      <c r="F679">
        <f>ABS(D679)+1</f>
      </c>
      <c r="G679" t="str">
        <v>→ CP4</v>
      </c>
      <c r="H679" t="str">
        <v>STRONG</v>
      </c>
      <c r="I679">
        <f>IF(F679=1,1,IF(F679&lt;=3,1,IF(F679&lt;=5,3,IF(F679&lt;=7,5,7))))</f>
      </c>
      <c r="J679">
        <f>IF(F679=1,1,IF(F679&lt;=3,3,IF(F679&lt;=5,5,IF(F679&lt;=7,7,9))))</f>
      </c>
      <c r="K679">
        <f>IF(F679=1,1,IF(F679&lt;=3,5,IF(F679&lt;=5,7,IF(F679&lt;=7,9,9))))</f>
      </c>
      <c r="L679" s="1">
        <f>IF(D679&gt;0,1/K679,I679)</f>
      </c>
      <c r="M679" s="1">
        <f>IF(D679&gt;0,1/J679,J679)</f>
      </c>
      <c r="N679" s="1">
        <f>IF(D679&gt;0,1/I679,K679)</f>
      </c>
    </row>
    <row r="680">
      <c r="A680">
        <v>4</v>
      </c>
      <c r="B680" t="str">
        <v>CP1</v>
      </c>
      <c r="C680" t="str">
        <v>CP5</v>
      </c>
      <c r="D680">
        <v>3</v>
      </c>
      <c r="E680">
        <v>3</v>
      </c>
      <c r="F680">
        <f>ABS(D680)+1</f>
      </c>
      <c r="G680" t="str">
        <v>→ CP5</v>
      </c>
      <c r="H680" t="str">
        <v>STRONG</v>
      </c>
      <c r="I680">
        <f>IF(F680=1,1,IF(F680&lt;=3,1,IF(F680&lt;=5,3,IF(F680&lt;=7,5,7))))</f>
      </c>
      <c r="J680">
        <f>IF(F680=1,1,IF(F680&lt;=3,3,IF(F680&lt;=5,5,IF(F680&lt;=7,7,9))))</f>
      </c>
      <c r="K680">
        <f>IF(F680=1,1,IF(F680&lt;=3,5,IF(F680&lt;=5,7,IF(F680&lt;=7,9,9))))</f>
      </c>
      <c r="L680" s="1">
        <f>IF(D680&gt;0,1/K680,I680)</f>
      </c>
      <c r="M680" s="1">
        <f>IF(D680&gt;0,1/J680,J680)</f>
      </c>
      <c r="N680" s="1">
        <f>IF(D680&gt;0,1/I680,K680)</f>
      </c>
    </row>
    <row r="681">
      <c r="A681">
        <v>5</v>
      </c>
      <c r="B681" t="str">
        <v>CP1</v>
      </c>
      <c r="C681" t="str">
        <v>CP6</v>
      </c>
      <c r="D681">
        <v>6</v>
      </c>
      <c r="E681">
        <v>6</v>
      </c>
      <c r="F681">
        <f>ABS(D681)+1</f>
      </c>
      <c r="G681" t="str">
        <v>→ CP6</v>
      </c>
      <c r="H681" t="str">
        <v>VERY_STRONG</v>
      </c>
      <c r="I681">
        <f>IF(F681=1,1,IF(F681&lt;=3,1,IF(F681&lt;=5,3,IF(F681&lt;=7,5,7))))</f>
      </c>
      <c r="J681">
        <f>IF(F681=1,1,IF(F681&lt;=3,3,IF(F681&lt;=5,5,IF(F681&lt;=7,7,9))))</f>
      </c>
      <c r="K681">
        <f>IF(F681=1,1,IF(F681&lt;=3,5,IF(F681&lt;=5,7,IF(F681&lt;=7,9,9))))</f>
      </c>
      <c r="L681" s="1">
        <f>IF(D681&gt;0,1/K681,I681)</f>
      </c>
      <c r="M681" s="1">
        <f>IF(D681&gt;0,1/J681,J681)</f>
      </c>
      <c r="N681" s="1">
        <f>IF(D681&gt;0,1/I681,K681)</f>
      </c>
    </row>
    <row r="682">
      <c r="A682">
        <v>6</v>
      </c>
      <c r="B682" t="str">
        <v>CP1</v>
      </c>
      <c r="C682" t="str">
        <v>CP7</v>
      </c>
      <c r="D682">
        <v>6</v>
      </c>
      <c r="E682">
        <v>6</v>
      </c>
      <c r="F682">
        <f>ABS(D682)+1</f>
      </c>
      <c r="G682" t="str">
        <v>→ CP7</v>
      </c>
      <c r="H682" t="str">
        <v>VERY_STRONG</v>
      </c>
      <c r="I682">
        <f>IF(F682=1,1,IF(F682&lt;=3,1,IF(F682&lt;=5,3,IF(F682&lt;=7,5,7))))</f>
      </c>
      <c r="J682">
        <f>IF(F682=1,1,IF(F682&lt;=3,3,IF(F682&lt;=5,5,IF(F682&lt;=7,7,9))))</f>
      </c>
      <c r="K682">
        <f>IF(F682=1,1,IF(F682&lt;=3,5,IF(F682&lt;=5,7,IF(F682&lt;=7,9,9))))</f>
      </c>
      <c r="L682" s="1">
        <f>IF(D682&gt;0,1/K682,I682)</f>
      </c>
      <c r="M682" s="1">
        <f>IF(D682&gt;0,1/J682,J682)</f>
      </c>
      <c r="N682" s="1">
        <f>IF(D682&gt;0,1/I682,K682)</f>
      </c>
    </row>
    <row r="683">
      <c r="A683">
        <v>7</v>
      </c>
      <c r="B683" t="str">
        <v>CP1</v>
      </c>
      <c r="C683" t="str">
        <v>CP8</v>
      </c>
      <c r="D683">
        <v>8</v>
      </c>
      <c r="E683">
        <v>8</v>
      </c>
      <c r="F683">
        <f>ABS(D683)+1</f>
      </c>
      <c r="G683" t="str">
        <v>→ CP8</v>
      </c>
      <c r="H683" t="str">
        <v>EXTREME</v>
      </c>
      <c r="I683">
        <f>IF(F683=1,1,IF(F683&lt;=3,1,IF(F683&lt;=5,3,IF(F683&lt;=7,5,7))))</f>
      </c>
      <c r="J683">
        <f>IF(F683=1,1,IF(F683&lt;=3,3,IF(F683&lt;=5,5,IF(F683&lt;=7,7,9))))</f>
      </c>
      <c r="K683">
        <f>IF(F683=1,1,IF(F683&lt;=3,5,IF(F683&lt;=5,7,IF(F683&lt;=7,9,9))))</f>
      </c>
      <c r="L683" s="1">
        <f>IF(D683&gt;0,1/K683,I683)</f>
      </c>
      <c r="M683" s="1">
        <f>IF(D683&gt;0,1/J683,J683)</f>
      </c>
      <c r="N683" s="1">
        <f>IF(D683&gt;0,1/I683,K683)</f>
      </c>
    </row>
    <row r="684">
      <c r="A684">
        <v>8</v>
      </c>
      <c r="B684" t="str">
        <v>CP1</v>
      </c>
      <c r="C684" t="str">
        <v>CP9</v>
      </c>
      <c r="D684">
        <v>5</v>
      </c>
      <c r="E684">
        <v>5</v>
      </c>
      <c r="F684">
        <f>ABS(D684)+1</f>
      </c>
      <c r="G684" t="str">
        <v>→ CP9</v>
      </c>
      <c r="H684" t="str">
        <v>VERY_STRONG</v>
      </c>
      <c r="I684">
        <f>IF(F684=1,1,IF(F684&lt;=3,1,IF(F684&lt;=5,3,IF(F684&lt;=7,5,7))))</f>
      </c>
      <c r="J684">
        <f>IF(F684=1,1,IF(F684&lt;=3,3,IF(F684&lt;=5,5,IF(F684&lt;=7,7,9))))</f>
      </c>
      <c r="K684">
        <f>IF(F684=1,1,IF(F684&lt;=3,5,IF(F684&lt;=5,7,IF(F684&lt;=7,9,9))))</f>
      </c>
      <c r="L684" s="1">
        <f>IF(D684&gt;0,1/K684,I684)</f>
      </c>
      <c r="M684" s="1">
        <f>IF(D684&gt;0,1/J684,J684)</f>
      </c>
      <c r="N684" s="1">
        <f>IF(D684&gt;0,1/I684,K684)</f>
      </c>
    </row>
    <row r="685">
      <c r="A685">
        <v>9</v>
      </c>
      <c r="B685" t="str">
        <v>CP2</v>
      </c>
      <c r="C685" t="str">
        <v>CP3</v>
      </c>
      <c r="D685">
        <v>-7</v>
      </c>
      <c r="E685">
        <v>7</v>
      </c>
      <c r="F685">
        <f>ABS(D685)+1</f>
      </c>
      <c r="G685" t="str">
        <v>← CP2</v>
      </c>
      <c r="H685" t="str">
        <v>EXTREME</v>
      </c>
      <c r="I685">
        <f>IF(F685=1,1,IF(F685&lt;=3,1,IF(F685&lt;=5,3,IF(F685&lt;=7,5,7))))</f>
      </c>
      <c r="J685">
        <f>IF(F685=1,1,IF(F685&lt;=3,3,IF(F685&lt;=5,5,IF(F685&lt;=7,7,9))))</f>
      </c>
      <c r="K685">
        <f>IF(F685=1,1,IF(F685&lt;=3,5,IF(F685&lt;=5,7,IF(F685&lt;=7,9,9))))</f>
      </c>
      <c r="L685" s="1">
        <f>IF(D685&gt;0,1/K685,I685)</f>
      </c>
      <c r="M685" s="1">
        <f>IF(D685&gt;0,1/J685,J685)</f>
      </c>
      <c r="N685" s="1">
        <f>IF(D685&gt;0,1/I685,K685)</f>
      </c>
    </row>
    <row r="686">
      <c r="A686">
        <v>10</v>
      </c>
      <c r="B686" t="str">
        <v>CP2</v>
      </c>
      <c r="C686" t="str">
        <v>CP4</v>
      </c>
      <c r="D686">
        <v>0</v>
      </c>
      <c r="E686">
        <v>0</v>
      </c>
      <c r="F686">
        <f>ABS(D686)+1</f>
      </c>
      <c r="G686" t="str">
        <v>= Sama</v>
      </c>
      <c r="H686" t="str">
        <v>EQUAL</v>
      </c>
      <c r="I686">
        <f>IF(F686=1,1,IF(F686&lt;=3,1,IF(F686&lt;=5,3,IF(F686&lt;=7,5,7))))</f>
      </c>
      <c r="J686">
        <f>IF(F686=1,1,IF(F686&lt;=3,3,IF(F686&lt;=5,5,IF(F686&lt;=7,7,9))))</f>
      </c>
      <c r="K686">
        <f>IF(F686=1,1,IF(F686&lt;=3,5,IF(F686&lt;=5,7,IF(F686&lt;=7,9,9))))</f>
      </c>
      <c r="L686" s="1">
        <f>IF(D686&gt;0,1/K686,I686)</f>
      </c>
      <c r="M686" s="1">
        <f>IF(D686&gt;0,1/J686,J686)</f>
      </c>
      <c r="N686" s="1">
        <f>IF(D686&gt;0,1/I686,K686)</f>
      </c>
    </row>
    <row r="687">
      <c r="A687">
        <v>11</v>
      </c>
      <c r="B687" t="str">
        <v>CP2</v>
      </c>
      <c r="C687" t="str">
        <v>CP5</v>
      </c>
      <c r="D687">
        <v>1</v>
      </c>
      <c r="E687">
        <v>1</v>
      </c>
      <c r="F687">
        <f>ABS(D687)+1</f>
      </c>
      <c r="G687" t="str">
        <v>→ CP5</v>
      </c>
      <c r="H687" t="str">
        <v>MODERATE</v>
      </c>
      <c r="I687">
        <f>IF(F687=1,1,IF(F687&lt;=3,1,IF(F687&lt;=5,3,IF(F687&lt;=7,5,7))))</f>
      </c>
      <c r="J687">
        <f>IF(F687=1,1,IF(F687&lt;=3,3,IF(F687&lt;=5,5,IF(F687&lt;=7,7,9))))</f>
      </c>
      <c r="K687">
        <f>IF(F687=1,1,IF(F687&lt;=3,5,IF(F687&lt;=5,7,IF(F687&lt;=7,9,9))))</f>
      </c>
      <c r="L687" s="1">
        <f>IF(D687&gt;0,1/K687,I687)</f>
      </c>
      <c r="M687" s="1">
        <f>IF(D687&gt;0,1/J687,J687)</f>
      </c>
      <c r="N687" s="1">
        <f>IF(D687&gt;0,1/I687,K687)</f>
      </c>
    </row>
    <row r="688">
      <c r="A688">
        <v>12</v>
      </c>
      <c r="B688" t="str">
        <v>CP2</v>
      </c>
      <c r="C688" t="str">
        <v>CP6</v>
      </c>
      <c r="D688">
        <v>-4</v>
      </c>
      <c r="E688">
        <v>4</v>
      </c>
      <c r="F688">
        <f>ABS(D688)+1</f>
      </c>
      <c r="G688" t="str">
        <v>← CP2</v>
      </c>
      <c r="H688" t="str">
        <v>STRONG</v>
      </c>
      <c r="I688">
        <f>IF(F688=1,1,IF(F688&lt;=3,1,IF(F688&lt;=5,3,IF(F688&lt;=7,5,7))))</f>
      </c>
      <c r="J688">
        <f>IF(F688=1,1,IF(F688&lt;=3,3,IF(F688&lt;=5,5,IF(F688&lt;=7,7,9))))</f>
      </c>
      <c r="K688">
        <f>IF(F688=1,1,IF(F688&lt;=3,5,IF(F688&lt;=5,7,IF(F688&lt;=7,9,9))))</f>
      </c>
      <c r="L688" s="1">
        <f>IF(D688&gt;0,1/K688,I688)</f>
      </c>
      <c r="M688" s="1">
        <f>IF(D688&gt;0,1/J688,J688)</f>
      </c>
      <c r="N688" s="1">
        <f>IF(D688&gt;0,1/I688,K688)</f>
      </c>
    </row>
    <row r="689">
      <c r="A689">
        <v>13</v>
      </c>
      <c r="B689" t="str">
        <v>CP2</v>
      </c>
      <c r="C689" t="str">
        <v>CP7</v>
      </c>
      <c r="D689">
        <v>-7</v>
      </c>
      <c r="E689">
        <v>7</v>
      </c>
      <c r="F689">
        <f>ABS(D689)+1</f>
      </c>
      <c r="G689" t="str">
        <v>← CP2</v>
      </c>
      <c r="H689" t="str">
        <v>EXTREME</v>
      </c>
      <c r="I689">
        <f>IF(F689=1,1,IF(F689&lt;=3,1,IF(F689&lt;=5,3,IF(F689&lt;=7,5,7))))</f>
      </c>
      <c r="J689">
        <f>IF(F689=1,1,IF(F689&lt;=3,3,IF(F689&lt;=5,5,IF(F689&lt;=7,7,9))))</f>
      </c>
      <c r="K689">
        <f>IF(F689=1,1,IF(F689&lt;=3,5,IF(F689&lt;=5,7,IF(F689&lt;=7,9,9))))</f>
      </c>
      <c r="L689" s="1">
        <f>IF(D689&gt;0,1/K689,I689)</f>
      </c>
      <c r="M689" s="1">
        <f>IF(D689&gt;0,1/J689,J689)</f>
      </c>
      <c r="N689" s="1">
        <f>IF(D689&gt;0,1/I689,K689)</f>
      </c>
    </row>
    <row r="690">
      <c r="A690">
        <v>14</v>
      </c>
      <c r="B690" t="str">
        <v>CP2</v>
      </c>
      <c r="C690" t="str">
        <v>CP8</v>
      </c>
      <c r="D690">
        <v>-2</v>
      </c>
      <c r="E690">
        <v>2</v>
      </c>
      <c r="F690">
        <f>ABS(D690)+1</f>
      </c>
      <c r="G690" t="str">
        <v>← CP2</v>
      </c>
      <c r="H690" t="str">
        <v>MODERATE</v>
      </c>
      <c r="I690">
        <f>IF(F690=1,1,IF(F690&lt;=3,1,IF(F690&lt;=5,3,IF(F690&lt;=7,5,7))))</f>
      </c>
      <c r="J690">
        <f>IF(F690=1,1,IF(F690&lt;=3,3,IF(F690&lt;=5,5,IF(F690&lt;=7,7,9))))</f>
      </c>
      <c r="K690">
        <f>IF(F690=1,1,IF(F690&lt;=3,5,IF(F690&lt;=5,7,IF(F690&lt;=7,9,9))))</f>
      </c>
      <c r="L690" s="1">
        <f>IF(D690&gt;0,1/K690,I690)</f>
      </c>
      <c r="M690" s="1">
        <f>IF(D690&gt;0,1/J690,J690)</f>
      </c>
      <c r="N690" s="1">
        <f>IF(D690&gt;0,1/I690,K690)</f>
      </c>
    </row>
    <row r="691">
      <c r="A691">
        <v>15</v>
      </c>
      <c r="B691" t="str">
        <v>CP2</v>
      </c>
      <c r="C691" t="str">
        <v>CP9</v>
      </c>
      <c r="D691">
        <v>-6</v>
      </c>
      <c r="E691">
        <v>6</v>
      </c>
      <c r="F691">
        <f>ABS(D691)+1</f>
      </c>
      <c r="G691" t="str">
        <v>← CP2</v>
      </c>
      <c r="H691" t="str">
        <v>VERY_STRONG</v>
      </c>
      <c r="I691">
        <f>IF(F691=1,1,IF(F691&lt;=3,1,IF(F691&lt;=5,3,IF(F691&lt;=7,5,7))))</f>
      </c>
      <c r="J691">
        <f>IF(F691=1,1,IF(F691&lt;=3,3,IF(F691&lt;=5,5,IF(F691&lt;=7,7,9))))</f>
      </c>
      <c r="K691">
        <f>IF(F691=1,1,IF(F691&lt;=3,5,IF(F691&lt;=5,7,IF(F691&lt;=7,9,9))))</f>
      </c>
      <c r="L691" s="1">
        <f>IF(D691&gt;0,1/K691,I691)</f>
      </c>
      <c r="M691" s="1">
        <f>IF(D691&gt;0,1/J691,J691)</f>
      </c>
      <c r="N691" s="1">
        <f>IF(D691&gt;0,1/I691,K691)</f>
      </c>
    </row>
    <row r="692">
      <c r="A692">
        <v>16</v>
      </c>
      <c r="B692" t="str">
        <v>CP3</v>
      </c>
      <c r="C692" t="str">
        <v>CP4</v>
      </c>
      <c r="D692">
        <v>6</v>
      </c>
      <c r="E692">
        <v>6</v>
      </c>
      <c r="F692">
        <f>ABS(D692)+1</f>
      </c>
      <c r="G692" t="str">
        <v>→ CP4</v>
      </c>
      <c r="H692" t="str">
        <v>VERY_STRONG</v>
      </c>
      <c r="I692">
        <f>IF(F692=1,1,IF(F692&lt;=3,1,IF(F692&lt;=5,3,IF(F692&lt;=7,5,7))))</f>
      </c>
      <c r="J692">
        <f>IF(F692=1,1,IF(F692&lt;=3,3,IF(F692&lt;=5,5,IF(F692&lt;=7,7,9))))</f>
      </c>
      <c r="K692">
        <f>IF(F692=1,1,IF(F692&lt;=3,5,IF(F692&lt;=5,7,IF(F692&lt;=7,9,9))))</f>
      </c>
      <c r="L692" s="1">
        <f>IF(D692&gt;0,1/K692,I692)</f>
      </c>
      <c r="M692" s="1">
        <f>IF(D692&gt;0,1/J692,J692)</f>
      </c>
      <c r="N692" s="1">
        <f>IF(D692&gt;0,1/I692,K692)</f>
      </c>
    </row>
    <row r="693">
      <c r="A693">
        <v>17</v>
      </c>
      <c r="B693" t="str">
        <v>CP3</v>
      </c>
      <c r="C693" t="str">
        <v>CP5</v>
      </c>
      <c r="D693">
        <v>6</v>
      </c>
      <c r="E693">
        <v>6</v>
      </c>
      <c r="F693">
        <f>ABS(D693)+1</f>
      </c>
      <c r="G693" t="str">
        <v>→ CP5</v>
      </c>
      <c r="H693" t="str">
        <v>VERY_STRONG</v>
      </c>
      <c r="I693">
        <f>IF(F693=1,1,IF(F693&lt;=3,1,IF(F693&lt;=5,3,IF(F693&lt;=7,5,7))))</f>
      </c>
      <c r="J693">
        <f>IF(F693=1,1,IF(F693&lt;=3,3,IF(F693&lt;=5,5,IF(F693&lt;=7,7,9))))</f>
      </c>
      <c r="K693">
        <f>IF(F693=1,1,IF(F693&lt;=3,5,IF(F693&lt;=5,7,IF(F693&lt;=7,9,9))))</f>
      </c>
      <c r="L693" s="1">
        <f>IF(D693&gt;0,1/K693,I693)</f>
      </c>
      <c r="M693" s="1">
        <f>IF(D693&gt;0,1/J693,J693)</f>
      </c>
      <c r="N693" s="1">
        <f>IF(D693&gt;0,1/I693,K693)</f>
      </c>
    </row>
    <row r="694">
      <c r="A694">
        <v>18</v>
      </c>
      <c r="B694" t="str">
        <v>CP3</v>
      </c>
      <c r="C694" t="str">
        <v>CP6</v>
      </c>
      <c r="D694">
        <v>2</v>
      </c>
      <c r="E694">
        <v>2</v>
      </c>
      <c r="F694">
        <f>ABS(D694)+1</f>
      </c>
      <c r="G694" t="str">
        <v>→ CP6</v>
      </c>
      <c r="H694" t="str">
        <v>MODERATE</v>
      </c>
      <c r="I694">
        <f>IF(F694=1,1,IF(F694&lt;=3,1,IF(F694&lt;=5,3,IF(F694&lt;=7,5,7))))</f>
      </c>
      <c r="J694">
        <f>IF(F694=1,1,IF(F694&lt;=3,3,IF(F694&lt;=5,5,IF(F694&lt;=7,7,9))))</f>
      </c>
      <c r="K694">
        <f>IF(F694=1,1,IF(F694&lt;=3,5,IF(F694&lt;=5,7,IF(F694&lt;=7,9,9))))</f>
      </c>
      <c r="L694" s="1">
        <f>IF(D694&gt;0,1/K694,I694)</f>
      </c>
      <c r="M694" s="1">
        <f>IF(D694&gt;0,1/J694,J694)</f>
      </c>
      <c r="N694" s="1">
        <f>IF(D694&gt;0,1/I694,K694)</f>
      </c>
    </row>
    <row r="695">
      <c r="A695">
        <v>19</v>
      </c>
      <c r="B695" t="str">
        <v>CP3</v>
      </c>
      <c r="C695" t="str">
        <v>CP7</v>
      </c>
      <c r="D695">
        <v>3</v>
      </c>
      <c r="E695">
        <v>3</v>
      </c>
      <c r="F695">
        <f>ABS(D695)+1</f>
      </c>
      <c r="G695" t="str">
        <v>→ CP7</v>
      </c>
      <c r="H695" t="str">
        <v>STRONG</v>
      </c>
      <c r="I695">
        <f>IF(F695=1,1,IF(F695&lt;=3,1,IF(F695&lt;=5,3,IF(F695&lt;=7,5,7))))</f>
      </c>
      <c r="J695">
        <f>IF(F695=1,1,IF(F695&lt;=3,3,IF(F695&lt;=5,5,IF(F695&lt;=7,7,9))))</f>
      </c>
      <c r="K695">
        <f>IF(F695=1,1,IF(F695&lt;=3,5,IF(F695&lt;=5,7,IF(F695&lt;=7,9,9))))</f>
      </c>
      <c r="L695" s="1">
        <f>IF(D695&gt;0,1/K695,I695)</f>
      </c>
      <c r="M695" s="1">
        <f>IF(D695&gt;0,1/J695,J695)</f>
      </c>
      <c r="N695" s="1">
        <f>IF(D695&gt;0,1/I695,K695)</f>
      </c>
    </row>
    <row r="696">
      <c r="A696">
        <v>20</v>
      </c>
      <c r="B696" t="str">
        <v>CP3</v>
      </c>
      <c r="C696" t="str">
        <v>CP8</v>
      </c>
      <c r="D696">
        <v>6</v>
      </c>
      <c r="E696">
        <v>6</v>
      </c>
      <c r="F696">
        <f>ABS(D696)+1</f>
      </c>
      <c r="G696" t="str">
        <v>→ CP8</v>
      </c>
      <c r="H696" t="str">
        <v>VERY_STRONG</v>
      </c>
      <c r="I696">
        <f>IF(F696=1,1,IF(F696&lt;=3,1,IF(F696&lt;=5,3,IF(F696&lt;=7,5,7))))</f>
      </c>
      <c r="J696">
        <f>IF(F696=1,1,IF(F696&lt;=3,3,IF(F696&lt;=5,5,IF(F696&lt;=7,7,9))))</f>
      </c>
      <c r="K696">
        <f>IF(F696=1,1,IF(F696&lt;=3,5,IF(F696&lt;=5,7,IF(F696&lt;=7,9,9))))</f>
      </c>
      <c r="L696" s="1">
        <f>IF(D696&gt;0,1/K696,I696)</f>
      </c>
      <c r="M696" s="1">
        <f>IF(D696&gt;0,1/J696,J696)</f>
      </c>
      <c r="N696" s="1">
        <f>IF(D696&gt;0,1/I696,K696)</f>
      </c>
    </row>
    <row r="697">
      <c r="A697">
        <v>21</v>
      </c>
      <c r="B697" t="str">
        <v>CP3</v>
      </c>
      <c r="C697" t="str">
        <v>CP9</v>
      </c>
      <c r="D697">
        <v>4</v>
      </c>
      <c r="E697">
        <v>4</v>
      </c>
      <c r="F697">
        <f>ABS(D697)+1</f>
      </c>
      <c r="G697" t="str">
        <v>→ CP9</v>
      </c>
      <c r="H697" t="str">
        <v>STRONG</v>
      </c>
      <c r="I697">
        <f>IF(F697=1,1,IF(F697&lt;=3,1,IF(F697&lt;=5,3,IF(F697&lt;=7,5,7))))</f>
      </c>
      <c r="J697">
        <f>IF(F697=1,1,IF(F697&lt;=3,3,IF(F697&lt;=5,5,IF(F697&lt;=7,7,9))))</f>
      </c>
      <c r="K697">
        <f>IF(F697=1,1,IF(F697&lt;=3,5,IF(F697&lt;=5,7,IF(F697&lt;=7,9,9))))</f>
      </c>
      <c r="L697" s="1">
        <f>IF(D697&gt;0,1/K697,I697)</f>
      </c>
      <c r="M697" s="1">
        <f>IF(D697&gt;0,1/J697,J697)</f>
      </c>
      <c r="N697" s="1">
        <f>IF(D697&gt;0,1/I697,K697)</f>
      </c>
    </row>
    <row r="698">
      <c r="A698">
        <v>22</v>
      </c>
      <c r="B698" t="str">
        <v>CP4</v>
      </c>
      <c r="C698" t="str">
        <v>CP5</v>
      </c>
      <c r="D698">
        <v>0</v>
      </c>
      <c r="E698">
        <v>0</v>
      </c>
      <c r="F698">
        <f>ABS(D698)+1</f>
      </c>
      <c r="G698" t="str">
        <v>= Sama</v>
      </c>
      <c r="H698" t="str">
        <v>EQUAL</v>
      </c>
      <c r="I698">
        <f>IF(F698=1,1,IF(F698&lt;=3,1,IF(F698&lt;=5,3,IF(F698&lt;=7,5,7))))</f>
      </c>
      <c r="J698">
        <f>IF(F698=1,1,IF(F698&lt;=3,3,IF(F698&lt;=5,5,IF(F698&lt;=7,7,9))))</f>
      </c>
      <c r="K698">
        <f>IF(F698=1,1,IF(F698&lt;=3,5,IF(F698&lt;=5,7,IF(F698&lt;=7,9,9))))</f>
      </c>
      <c r="L698" s="1">
        <f>IF(D698&gt;0,1/K698,I698)</f>
      </c>
      <c r="M698" s="1">
        <f>IF(D698&gt;0,1/J698,J698)</f>
      </c>
      <c r="N698" s="1">
        <f>IF(D698&gt;0,1/I698,K698)</f>
      </c>
    </row>
    <row r="699">
      <c r="A699">
        <v>23</v>
      </c>
      <c r="B699" t="str">
        <v>CP4</v>
      </c>
      <c r="C699" t="str">
        <v>CP6</v>
      </c>
      <c r="D699">
        <v>-2</v>
      </c>
      <c r="E699">
        <v>2</v>
      </c>
      <c r="F699">
        <f>ABS(D699)+1</f>
      </c>
      <c r="G699" t="str">
        <v>← CP4</v>
      </c>
      <c r="H699" t="str">
        <v>MODERATE</v>
      </c>
      <c r="I699">
        <f>IF(F699=1,1,IF(F699&lt;=3,1,IF(F699&lt;=5,3,IF(F699&lt;=7,5,7))))</f>
      </c>
      <c r="J699">
        <f>IF(F699=1,1,IF(F699&lt;=3,3,IF(F699&lt;=5,5,IF(F699&lt;=7,7,9))))</f>
      </c>
      <c r="K699">
        <f>IF(F699=1,1,IF(F699&lt;=3,5,IF(F699&lt;=5,7,IF(F699&lt;=7,9,9))))</f>
      </c>
      <c r="L699" s="1">
        <f>IF(D699&gt;0,1/K699,I699)</f>
      </c>
      <c r="M699" s="1">
        <f>IF(D699&gt;0,1/J699,J699)</f>
      </c>
      <c r="N699" s="1">
        <f>IF(D699&gt;0,1/I699,K699)</f>
      </c>
    </row>
    <row r="700">
      <c r="A700">
        <v>24</v>
      </c>
      <c r="B700" t="str">
        <v>CP4</v>
      </c>
      <c r="C700" t="str">
        <v>CP7</v>
      </c>
      <c r="D700">
        <v>-2</v>
      </c>
      <c r="E700">
        <v>2</v>
      </c>
      <c r="F700">
        <f>ABS(D700)+1</f>
      </c>
      <c r="G700" t="str">
        <v>← CP4</v>
      </c>
      <c r="H700" t="str">
        <v>MODERATE</v>
      </c>
      <c r="I700">
        <f>IF(F700=1,1,IF(F700&lt;=3,1,IF(F700&lt;=5,3,IF(F700&lt;=7,5,7))))</f>
      </c>
      <c r="J700">
        <f>IF(F700=1,1,IF(F700&lt;=3,3,IF(F700&lt;=5,5,IF(F700&lt;=7,7,9))))</f>
      </c>
      <c r="K700">
        <f>IF(F700=1,1,IF(F700&lt;=3,5,IF(F700&lt;=5,7,IF(F700&lt;=7,9,9))))</f>
      </c>
      <c r="L700" s="1">
        <f>IF(D700&gt;0,1/K700,I700)</f>
      </c>
      <c r="M700" s="1">
        <f>IF(D700&gt;0,1/J700,J700)</f>
      </c>
      <c r="N700" s="1">
        <f>IF(D700&gt;0,1/I700,K700)</f>
      </c>
    </row>
    <row r="701">
      <c r="A701">
        <v>25</v>
      </c>
      <c r="B701" t="str">
        <v>CP4</v>
      </c>
      <c r="C701" t="str">
        <v>CP8</v>
      </c>
      <c r="D701">
        <v>-2</v>
      </c>
      <c r="E701">
        <v>2</v>
      </c>
      <c r="F701">
        <f>ABS(D701)+1</f>
      </c>
      <c r="G701" t="str">
        <v>← CP4</v>
      </c>
      <c r="H701" t="str">
        <v>MODERATE</v>
      </c>
      <c r="I701">
        <f>IF(F701=1,1,IF(F701&lt;=3,1,IF(F701&lt;=5,3,IF(F701&lt;=7,5,7))))</f>
      </c>
      <c r="J701">
        <f>IF(F701=1,1,IF(F701&lt;=3,3,IF(F701&lt;=5,5,IF(F701&lt;=7,7,9))))</f>
      </c>
      <c r="K701">
        <f>IF(F701=1,1,IF(F701&lt;=3,5,IF(F701&lt;=5,7,IF(F701&lt;=7,9,9))))</f>
      </c>
      <c r="L701" s="1">
        <f>IF(D701&gt;0,1/K701,I701)</f>
      </c>
      <c r="M701" s="1">
        <f>IF(D701&gt;0,1/J701,J701)</f>
      </c>
      <c r="N701" s="1">
        <f>IF(D701&gt;0,1/I701,K701)</f>
      </c>
    </row>
    <row r="702">
      <c r="A702">
        <v>26</v>
      </c>
      <c r="B702" t="str">
        <v>CP4</v>
      </c>
      <c r="C702" t="str">
        <v>CP9</v>
      </c>
      <c r="D702">
        <v>5</v>
      </c>
      <c r="E702">
        <v>5</v>
      </c>
      <c r="F702">
        <f>ABS(D702)+1</f>
      </c>
      <c r="G702" t="str">
        <v>→ CP9</v>
      </c>
      <c r="H702" t="str">
        <v>VERY_STRONG</v>
      </c>
      <c r="I702">
        <f>IF(F702=1,1,IF(F702&lt;=3,1,IF(F702&lt;=5,3,IF(F702&lt;=7,5,7))))</f>
      </c>
      <c r="J702">
        <f>IF(F702=1,1,IF(F702&lt;=3,3,IF(F702&lt;=5,5,IF(F702&lt;=7,7,9))))</f>
      </c>
      <c r="K702">
        <f>IF(F702=1,1,IF(F702&lt;=3,5,IF(F702&lt;=5,7,IF(F702&lt;=7,9,9))))</f>
      </c>
      <c r="L702" s="1">
        <f>IF(D702&gt;0,1/K702,I702)</f>
      </c>
      <c r="M702" s="1">
        <f>IF(D702&gt;0,1/J702,J702)</f>
      </c>
      <c r="N702" s="1">
        <f>IF(D702&gt;0,1/I702,K702)</f>
      </c>
    </row>
    <row r="703">
      <c r="A703">
        <v>27</v>
      </c>
      <c r="B703" t="str">
        <v>CP5</v>
      </c>
      <c r="C703" t="str">
        <v>CP6</v>
      </c>
      <c r="D703">
        <v>-6</v>
      </c>
      <c r="E703">
        <v>6</v>
      </c>
      <c r="F703">
        <f>ABS(D703)+1</f>
      </c>
      <c r="G703" t="str">
        <v>← CP5</v>
      </c>
      <c r="H703" t="str">
        <v>VERY_STRONG</v>
      </c>
      <c r="I703">
        <f>IF(F703=1,1,IF(F703&lt;=3,1,IF(F703&lt;=5,3,IF(F703&lt;=7,5,7))))</f>
      </c>
      <c r="J703">
        <f>IF(F703=1,1,IF(F703&lt;=3,3,IF(F703&lt;=5,5,IF(F703&lt;=7,7,9))))</f>
      </c>
      <c r="K703">
        <f>IF(F703=1,1,IF(F703&lt;=3,5,IF(F703&lt;=5,7,IF(F703&lt;=7,9,9))))</f>
      </c>
      <c r="L703" s="1">
        <f>IF(D703&gt;0,1/K703,I703)</f>
      </c>
      <c r="M703" s="1">
        <f>IF(D703&gt;0,1/J703,J703)</f>
      </c>
      <c r="N703" s="1">
        <f>IF(D703&gt;0,1/I703,K703)</f>
      </c>
    </row>
    <row r="704">
      <c r="A704">
        <v>28</v>
      </c>
      <c r="B704" t="str">
        <v>CP5</v>
      </c>
      <c r="C704" t="str">
        <v>CP7</v>
      </c>
      <c r="D704">
        <v>-4</v>
      </c>
      <c r="E704">
        <v>4</v>
      </c>
      <c r="F704">
        <f>ABS(D704)+1</f>
      </c>
      <c r="G704" t="str">
        <v>← CP5</v>
      </c>
      <c r="H704" t="str">
        <v>STRONG</v>
      </c>
      <c r="I704">
        <f>IF(F704=1,1,IF(F704&lt;=3,1,IF(F704&lt;=5,3,IF(F704&lt;=7,5,7))))</f>
      </c>
      <c r="J704">
        <f>IF(F704=1,1,IF(F704&lt;=3,3,IF(F704&lt;=5,5,IF(F704&lt;=7,7,9))))</f>
      </c>
      <c r="K704">
        <f>IF(F704=1,1,IF(F704&lt;=3,5,IF(F704&lt;=5,7,IF(F704&lt;=7,9,9))))</f>
      </c>
      <c r="L704" s="1">
        <f>IF(D704&gt;0,1/K704,I704)</f>
      </c>
      <c r="M704" s="1">
        <f>IF(D704&gt;0,1/J704,J704)</f>
      </c>
      <c r="N704" s="1">
        <f>IF(D704&gt;0,1/I704,K704)</f>
      </c>
    </row>
    <row r="705">
      <c r="A705">
        <v>29</v>
      </c>
      <c r="B705" t="str">
        <v>CP5</v>
      </c>
      <c r="C705" t="str">
        <v>CP8</v>
      </c>
      <c r="D705">
        <v>-6</v>
      </c>
      <c r="E705">
        <v>6</v>
      </c>
      <c r="F705">
        <f>ABS(D705)+1</f>
      </c>
      <c r="G705" t="str">
        <v>← CP5</v>
      </c>
      <c r="H705" t="str">
        <v>VERY_STRONG</v>
      </c>
      <c r="I705">
        <f>IF(F705=1,1,IF(F705&lt;=3,1,IF(F705&lt;=5,3,IF(F705&lt;=7,5,7))))</f>
      </c>
      <c r="J705">
        <f>IF(F705=1,1,IF(F705&lt;=3,3,IF(F705&lt;=5,5,IF(F705&lt;=7,7,9))))</f>
      </c>
      <c r="K705">
        <f>IF(F705=1,1,IF(F705&lt;=3,5,IF(F705&lt;=5,7,IF(F705&lt;=7,9,9))))</f>
      </c>
      <c r="L705" s="1">
        <f>IF(D705&gt;0,1/K705,I705)</f>
      </c>
      <c r="M705" s="1">
        <f>IF(D705&gt;0,1/J705,J705)</f>
      </c>
      <c r="N705" s="1">
        <f>IF(D705&gt;0,1/I705,K705)</f>
      </c>
    </row>
    <row r="706">
      <c r="A706">
        <v>30</v>
      </c>
      <c r="B706" t="str">
        <v>CP5</v>
      </c>
      <c r="C706" t="str">
        <v>CP9</v>
      </c>
      <c r="D706">
        <v>-5</v>
      </c>
      <c r="E706">
        <v>5</v>
      </c>
      <c r="F706">
        <f>ABS(D706)+1</f>
      </c>
      <c r="G706" t="str">
        <v>← CP5</v>
      </c>
      <c r="H706" t="str">
        <v>VERY_STRONG</v>
      </c>
      <c r="I706">
        <f>IF(F706=1,1,IF(F706&lt;=3,1,IF(F706&lt;=5,3,IF(F706&lt;=7,5,7))))</f>
      </c>
      <c r="J706">
        <f>IF(F706=1,1,IF(F706&lt;=3,3,IF(F706&lt;=5,5,IF(F706&lt;=7,7,9))))</f>
      </c>
      <c r="K706">
        <f>IF(F706=1,1,IF(F706&lt;=3,5,IF(F706&lt;=5,7,IF(F706&lt;=7,9,9))))</f>
      </c>
      <c r="L706" s="1">
        <f>IF(D706&gt;0,1/K706,I706)</f>
      </c>
      <c r="M706" s="1">
        <f>IF(D706&gt;0,1/J706,J706)</f>
      </c>
      <c r="N706" s="1">
        <f>IF(D706&gt;0,1/I706,K706)</f>
      </c>
    </row>
    <row r="707">
      <c r="A707">
        <v>31</v>
      </c>
      <c r="B707" t="str">
        <v>CP6</v>
      </c>
      <c r="C707" t="str">
        <v>CP7</v>
      </c>
      <c r="D707">
        <v>-2</v>
      </c>
      <c r="E707">
        <v>2</v>
      </c>
      <c r="F707">
        <f>ABS(D707)+1</f>
      </c>
      <c r="G707" t="str">
        <v>← CP6</v>
      </c>
      <c r="H707" t="str">
        <v>MODERATE</v>
      </c>
      <c r="I707">
        <f>IF(F707=1,1,IF(F707&lt;=3,1,IF(F707&lt;=5,3,IF(F707&lt;=7,5,7))))</f>
      </c>
      <c r="J707">
        <f>IF(F707=1,1,IF(F707&lt;=3,3,IF(F707&lt;=5,5,IF(F707&lt;=7,7,9))))</f>
      </c>
      <c r="K707">
        <f>IF(F707=1,1,IF(F707&lt;=3,5,IF(F707&lt;=5,7,IF(F707&lt;=7,9,9))))</f>
      </c>
      <c r="L707" s="1">
        <f>IF(D707&gt;0,1/K707,I707)</f>
      </c>
      <c r="M707" s="1">
        <f>IF(D707&gt;0,1/J707,J707)</f>
      </c>
      <c r="N707" s="1">
        <f>IF(D707&gt;0,1/I707,K707)</f>
      </c>
    </row>
    <row r="708">
      <c r="A708">
        <v>32</v>
      </c>
      <c r="B708" t="str">
        <v>CP6</v>
      </c>
      <c r="C708" t="str">
        <v>CP8</v>
      </c>
      <c r="D708">
        <v>2</v>
      </c>
      <c r="E708">
        <v>2</v>
      </c>
      <c r="F708">
        <f>ABS(D708)+1</f>
      </c>
      <c r="G708" t="str">
        <v>→ CP8</v>
      </c>
      <c r="H708" t="str">
        <v>MODERATE</v>
      </c>
      <c r="I708">
        <f>IF(F708=1,1,IF(F708&lt;=3,1,IF(F708&lt;=5,3,IF(F708&lt;=7,5,7))))</f>
      </c>
      <c r="J708">
        <f>IF(F708=1,1,IF(F708&lt;=3,3,IF(F708&lt;=5,5,IF(F708&lt;=7,7,9))))</f>
      </c>
      <c r="K708">
        <f>IF(F708=1,1,IF(F708&lt;=3,5,IF(F708&lt;=5,7,IF(F708&lt;=7,9,9))))</f>
      </c>
      <c r="L708" s="1">
        <f>IF(D708&gt;0,1/K708,I708)</f>
      </c>
      <c r="M708" s="1">
        <f>IF(D708&gt;0,1/J708,J708)</f>
      </c>
      <c r="N708" s="1">
        <f>IF(D708&gt;0,1/I708,K708)</f>
      </c>
    </row>
    <row r="709">
      <c r="A709">
        <v>33</v>
      </c>
      <c r="B709" t="str">
        <v>CP6</v>
      </c>
      <c r="C709" t="str">
        <v>CP9</v>
      </c>
      <c r="D709">
        <v>2</v>
      </c>
      <c r="E709">
        <v>2</v>
      </c>
      <c r="F709">
        <f>ABS(D709)+1</f>
      </c>
      <c r="G709" t="str">
        <v>→ CP9</v>
      </c>
      <c r="H709" t="str">
        <v>MODERATE</v>
      </c>
      <c r="I709">
        <f>IF(F709=1,1,IF(F709&lt;=3,1,IF(F709&lt;=5,3,IF(F709&lt;=7,5,7))))</f>
      </c>
      <c r="J709">
        <f>IF(F709=1,1,IF(F709&lt;=3,3,IF(F709&lt;=5,5,IF(F709&lt;=7,7,9))))</f>
      </c>
      <c r="K709">
        <f>IF(F709=1,1,IF(F709&lt;=3,5,IF(F709&lt;=5,7,IF(F709&lt;=7,9,9))))</f>
      </c>
      <c r="L709" s="1">
        <f>IF(D709&gt;0,1/K709,I709)</f>
      </c>
      <c r="M709" s="1">
        <f>IF(D709&gt;0,1/J709,J709)</f>
      </c>
      <c r="N709" s="1">
        <f>IF(D709&gt;0,1/I709,K709)</f>
      </c>
    </row>
    <row r="710">
      <c r="A710">
        <v>34</v>
      </c>
      <c r="B710" t="str">
        <v>CP7</v>
      </c>
      <c r="C710" t="str">
        <v>CP8</v>
      </c>
      <c r="D710">
        <v>2</v>
      </c>
      <c r="E710">
        <v>2</v>
      </c>
      <c r="F710">
        <f>ABS(D710)+1</f>
      </c>
      <c r="G710" t="str">
        <v>→ CP8</v>
      </c>
      <c r="H710" t="str">
        <v>MODERATE</v>
      </c>
      <c r="I710">
        <f>IF(F710=1,1,IF(F710&lt;=3,1,IF(F710&lt;=5,3,IF(F710&lt;=7,5,7))))</f>
      </c>
      <c r="J710">
        <f>IF(F710=1,1,IF(F710&lt;=3,3,IF(F710&lt;=5,5,IF(F710&lt;=7,7,9))))</f>
      </c>
      <c r="K710">
        <f>IF(F710=1,1,IF(F710&lt;=3,5,IF(F710&lt;=5,7,IF(F710&lt;=7,9,9))))</f>
      </c>
      <c r="L710" s="1">
        <f>IF(D710&gt;0,1/K710,I710)</f>
      </c>
      <c r="M710" s="1">
        <f>IF(D710&gt;0,1/J710,J710)</f>
      </c>
      <c r="N710" s="1">
        <f>IF(D710&gt;0,1/I710,K710)</f>
      </c>
    </row>
    <row r="711">
      <c r="A711">
        <v>35</v>
      </c>
      <c r="B711" t="str">
        <v>CP7</v>
      </c>
      <c r="C711" t="str">
        <v>CP9</v>
      </c>
      <c r="D711">
        <v>2</v>
      </c>
      <c r="E711">
        <v>2</v>
      </c>
      <c r="F711">
        <f>ABS(D711)+1</f>
      </c>
      <c r="G711" t="str">
        <v>→ CP9</v>
      </c>
      <c r="H711" t="str">
        <v>MODERATE</v>
      </c>
      <c r="I711">
        <f>IF(F711=1,1,IF(F711&lt;=3,1,IF(F711&lt;=5,3,IF(F711&lt;=7,5,7))))</f>
      </c>
      <c r="J711">
        <f>IF(F711=1,1,IF(F711&lt;=3,3,IF(F711&lt;=5,5,IF(F711&lt;=7,7,9))))</f>
      </c>
      <c r="K711">
        <f>IF(F711=1,1,IF(F711&lt;=3,5,IF(F711&lt;=5,7,IF(F711&lt;=7,9,9))))</f>
      </c>
      <c r="L711" s="1">
        <f>IF(D711&gt;0,1/K711,I711)</f>
      </c>
      <c r="M711" s="1">
        <f>IF(D711&gt;0,1/J711,J711)</f>
      </c>
      <c r="N711" s="1">
        <f>IF(D711&gt;0,1/I711,K711)</f>
      </c>
    </row>
    <row r="712">
      <c r="A712">
        <v>36</v>
      </c>
      <c r="B712" t="str">
        <v>CP8</v>
      </c>
      <c r="C712" t="str">
        <v>CP9</v>
      </c>
      <c r="D712">
        <v>-2</v>
      </c>
      <c r="E712">
        <v>2</v>
      </c>
      <c r="F712">
        <f>ABS(D712)+1</f>
      </c>
      <c r="G712" t="str">
        <v>← CP8</v>
      </c>
      <c r="H712" t="str">
        <v>MODERATE</v>
      </c>
      <c r="I712">
        <f>IF(F712=1,1,IF(F712&lt;=3,1,IF(F712&lt;=5,3,IF(F712&lt;=7,5,7))))</f>
      </c>
      <c r="J712">
        <f>IF(F712=1,1,IF(F712&lt;=3,3,IF(F712&lt;=5,5,IF(F712&lt;=7,7,9))))</f>
      </c>
      <c r="K712">
        <f>IF(F712=1,1,IF(F712&lt;=3,5,IF(F712&lt;=5,7,IF(F712&lt;=7,9,9))))</f>
      </c>
      <c r="L712" s="1">
        <f>IF(D712&gt;0,1/K712,I712)</f>
      </c>
      <c r="M712" s="1">
        <f>IF(D712&gt;0,1/J712,J712)</f>
      </c>
      <c r="N712" s="1">
        <f>IF(D712&gt;0,1/I712,K712)</f>
      </c>
    </row>
    <row r="715">
      <c r="A715" t="str">
        <v>═══ RESPONDEN 18: Ardini Oktavia ═══</v>
      </c>
    </row>
    <row r="716">
      <c r="A716" t="str">
        <v>Jabatan: Penelaah Teknis Kebijakan | Instansi: Dinas Peternakan dan Kesehatan Hewan Provinsi Riau</v>
      </c>
    </row>
    <row r="717">
      <c r="A717" t="str">
        <v>No</v>
      </c>
      <c r="B717" t="str">
        <v>Krit. A</v>
      </c>
      <c r="C717" t="str">
        <v>Krit. B</v>
      </c>
      <c r="D717" t="str">
        <v>Slider</v>
      </c>
      <c r="E717" t="str">
        <v>|Slider|</v>
      </c>
      <c r="F717" t="str">
        <v>absVal</v>
      </c>
      <c r="G717" t="str">
        <v>Arah</v>
      </c>
      <c r="H717" t="str">
        <v>Fuzzy</v>
      </c>
      <c r="I717" t="str">
        <v>l_orig</v>
      </c>
      <c r="J717" t="str">
        <v>m_orig</v>
      </c>
      <c r="K717" t="str">
        <v>u_orig</v>
      </c>
      <c r="L717" t="str">
        <v>TFN_l</v>
      </c>
      <c r="M717" t="str">
        <v>TFN_m</v>
      </c>
      <c r="N717" t="str">
        <v>TFN_u</v>
      </c>
    </row>
    <row r="718">
      <c r="A718">
        <v>1</v>
      </c>
      <c r="B718" t="str">
        <v>CP1</v>
      </c>
      <c r="C718" t="str">
        <v>CP2</v>
      </c>
      <c r="D718">
        <v>5</v>
      </c>
      <c r="E718">
        <v>5</v>
      </c>
      <c r="F718">
        <f>ABS(D718)+1</f>
      </c>
      <c r="G718" t="str">
        <v>→ CP2</v>
      </c>
      <c r="H718" t="str">
        <v>VERY_STRONG</v>
      </c>
      <c r="I718">
        <f>IF(F718=1,1,IF(F718&lt;=3,1,IF(F718&lt;=5,3,IF(F718&lt;=7,5,7))))</f>
      </c>
      <c r="J718">
        <f>IF(F718=1,1,IF(F718&lt;=3,3,IF(F718&lt;=5,5,IF(F718&lt;=7,7,9))))</f>
      </c>
      <c r="K718">
        <f>IF(F718=1,1,IF(F718&lt;=3,5,IF(F718&lt;=5,7,IF(F718&lt;=7,9,9))))</f>
      </c>
      <c r="L718" s="1">
        <f>IF(D718&gt;0,1/K718,I718)</f>
      </c>
      <c r="M718" s="1">
        <f>IF(D718&gt;0,1/J718,J718)</f>
      </c>
      <c r="N718" s="1">
        <f>IF(D718&gt;0,1/I718,K718)</f>
      </c>
    </row>
    <row r="719">
      <c r="A719">
        <v>2</v>
      </c>
      <c r="B719" t="str">
        <v>CP1</v>
      </c>
      <c r="C719" t="str">
        <v>CP3</v>
      </c>
      <c r="D719">
        <v>4</v>
      </c>
      <c r="E719">
        <v>4</v>
      </c>
      <c r="F719">
        <f>ABS(D719)+1</f>
      </c>
      <c r="G719" t="str">
        <v>→ CP3</v>
      </c>
      <c r="H719" t="str">
        <v>STRONG</v>
      </c>
      <c r="I719">
        <f>IF(F719=1,1,IF(F719&lt;=3,1,IF(F719&lt;=5,3,IF(F719&lt;=7,5,7))))</f>
      </c>
      <c r="J719">
        <f>IF(F719=1,1,IF(F719&lt;=3,3,IF(F719&lt;=5,5,IF(F719&lt;=7,7,9))))</f>
      </c>
      <c r="K719">
        <f>IF(F719=1,1,IF(F719&lt;=3,5,IF(F719&lt;=5,7,IF(F719&lt;=7,9,9))))</f>
      </c>
      <c r="L719" s="1">
        <f>IF(D719&gt;0,1/K719,I719)</f>
      </c>
      <c r="M719" s="1">
        <f>IF(D719&gt;0,1/J719,J719)</f>
      </c>
      <c r="N719" s="1">
        <f>IF(D719&gt;0,1/I719,K719)</f>
      </c>
    </row>
    <row r="720">
      <c r="A720">
        <v>3</v>
      </c>
      <c r="B720" t="str">
        <v>CP1</v>
      </c>
      <c r="C720" t="str">
        <v>CP4</v>
      </c>
      <c r="D720">
        <v>7</v>
      </c>
      <c r="E720">
        <v>7</v>
      </c>
      <c r="F720">
        <f>ABS(D720)+1</f>
      </c>
      <c r="G720" t="str">
        <v>→ CP4</v>
      </c>
      <c r="H720" t="str">
        <v>EXTREME</v>
      </c>
      <c r="I720">
        <f>IF(F720=1,1,IF(F720&lt;=3,1,IF(F720&lt;=5,3,IF(F720&lt;=7,5,7))))</f>
      </c>
      <c r="J720">
        <f>IF(F720=1,1,IF(F720&lt;=3,3,IF(F720&lt;=5,5,IF(F720&lt;=7,7,9))))</f>
      </c>
      <c r="K720">
        <f>IF(F720=1,1,IF(F720&lt;=3,5,IF(F720&lt;=5,7,IF(F720&lt;=7,9,9))))</f>
      </c>
      <c r="L720" s="1">
        <f>IF(D720&gt;0,1/K720,I720)</f>
      </c>
      <c r="M720" s="1">
        <f>IF(D720&gt;0,1/J720,J720)</f>
      </c>
      <c r="N720" s="1">
        <f>IF(D720&gt;0,1/I720,K720)</f>
      </c>
    </row>
    <row r="721">
      <c r="A721">
        <v>4</v>
      </c>
      <c r="B721" t="str">
        <v>CP1</v>
      </c>
      <c r="C721" t="str">
        <v>CP5</v>
      </c>
      <c r="D721">
        <v>6</v>
      </c>
      <c r="E721">
        <v>6</v>
      </c>
      <c r="F721">
        <f>ABS(D721)+1</f>
      </c>
      <c r="G721" t="str">
        <v>→ CP5</v>
      </c>
      <c r="H721" t="str">
        <v>VERY_STRONG</v>
      </c>
      <c r="I721">
        <f>IF(F721=1,1,IF(F721&lt;=3,1,IF(F721&lt;=5,3,IF(F721&lt;=7,5,7))))</f>
      </c>
      <c r="J721">
        <f>IF(F721=1,1,IF(F721&lt;=3,3,IF(F721&lt;=5,5,IF(F721&lt;=7,7,9))))</f>
      </c>
      <c r="K721">
        <f>IF(F721=1,1,IF(F721&lt;=3,5,IF(F721&lt;=5,7,IF(F721&lt;=7,9,9))))</f>
      </c>
      <c r="L721" s="1">
        <f>IF(D721&gt;0,1/K721,I721)</f>
      </c>
      <c r="M721" s="1">
        <f>IF(D721&gt;0,1/J721,J721)</f>
      </c>
      <c r="N721" s="1">
        <f>IF(D721&gt;0,1/I721,K721)</f>
      </c>
    </row>
    <row r="722">
      <c r="A722">
        <v>5</v>
      </c>
      <c r="B722" t="str">
        <v>CP1</v>
      </c>
      <c r="C722" t="str">
        <v>CP6</v>
      </c>
      <c r="D722">
        <v>3</v>
      </c>
      <c r="E722">
        <v>3</v>
      </c>
      <c r="F722">
        <f>ABS(D722)+1</f>
      </c>
      <c r="G722" t="str">
        <v>→ CP6</v>
      </c>
      <c r="H722" t="str">
        <v>STRONG</v>
      </c>
      <c r="I722">
        <f>IF(F722=1,1,IF(F722&lt;=3,1,IF(F722&lt;=5,3,IF(F722&lt;=7,5,7))))</f>
      </c>
      <c r="J722">
        <f>IF(F722=1,1,IF(F722&lt;=3,3,IF(F722&lt;=5,5,IF(F722&lt;=7,7,9))))</f>
      </c>
      <c r="K722">
        <f>IF(F722=1,1,IF(F722&lt;=3,5,IF(F722&lt;=5,7,IF(F722&lt;=7,9,9))))</f>
      </c>
      <c r="L722" s="1">
        <f>IF(D722&gt;0,1/K722,I722)</f>
      </c>
      <c r="M722" s="1">
        <f>IF(D722&gt;0,1/J722,J722)</f>
      </c>
      <c r="N722" s="1">
        <f>IF(D722&gt;0,1/I722,K722)</f>
      </c>
    </row>
    <row r="723">
      <c r="A723">
        <v>6</v>
      </c>
      <c r="B723" t="str">
        <v>CP1</v>
      </c>
      <c r="C723" t="str">
        <v>CP7</v>
      </c>
      <c r="D723">
        <v>4</v>
      </c>
      <c r="E723">
        <v>4</v>
      </c>
      <c r="F723">
        <f>ABS(D723)+1</f>
      </c>
      <c r="G723" t="str">
        <v>→ CP7</v>
      </c>
      <c r="H723" t="str">
        <v>STRONG</v>
      </c>
      <c r="I723">
        <f>IF(F723=1,1,IF(F723&lt;=3,1,IF(F723&lt;=5,3,IF(F723&lt;=7,5,7))))</f>
      </c>
      <c r="J723">
        <f>IF(F723=1,1,IF(F723&lt;=3,3,IF(F723&lt;=5,5,IF(F723&lt;=7,7,9))))</f>
      </c>
      <c r="K723">
        <f>IF(F723=1,1,IF(F723&lt;=3,5,IF(F723&lt;=5,7,IF(F723&lt;=7,9,9))))</f>
      </c>
      <c r="L723" s="1">
        <f>IF(D723&gt;0,1/K723,I723)</f>
      </c>
      <c r="M723" s="1">
        <f>IF(D723&gt;0,1/J723,J723)</f>
      </c>
      <c r="N723" s="1">
        <f>IF(D723&gt;0,1/I723,K723)</f>
      </c>
    </row>
    <row r="724">
      <c r="A724">
        <v>7</v>
      </c>
      <c r="B724" t="str">
        <v>CP1</v>
      </c>
      <c r="C724" t="str">
        <v>CP8</v>
      </c>
      <c r="D724">
        <v>5</v>
      </c>
      <c r="E724">
        <v>5</v>
      </c>
      <c r="F724">
        <f>ABS(D724)+1</f>
      </c>
      <c r="G724" t="str">
        <v>→ CP8</v>
      </c>
      <c r="H724" t="str">
        <v>VERY_STRONG</v>
      </c>
      <c r="I724">
        <f>IF(F724=1,1,IF(F724&lt;=3,1,IF(F724&lt;=5,3,IF(F724&lt;=7,5,7))))</f>
      </c>
      <c r="J724">
        <f>IF(F724=1,1,IF(F724&lt;=3,3,IF(F724&lt;=5,5,IF(F724&lt;=7,7,9))))</f>
      </c>
      <c r="K724">
        <f>IF(F724=1,1,IF(F724&lt;=3,5,IF(F724&lt;=5,7,IF(F724&lt;=7,9,9))))</f>
      </c>
      <c r="L724" s="1">
        <f>IF(D724&gt;0,1/K724,I724)</f>
      </c>
      <c r="M724" s="1">
        <f>IF(D724&gt;0,1/J724,J724)</f>
      </c>
      <c r="N724" s="1">
        <f>IF(D724&gt;0,1/I724,K724)</f>
      </c>
    </row>
    <row r="725">
      <c r="A725">
        <v>8</v>
      </c>
      <c r="B725" t="str">
        <v>CP1</v>
      </c>
      <c r="C725" t="str">
        <v>CP9</v>
      </c>
      <c r="D725">
        <v>4</v>
      </c>
      <c r="E725">
        <v>4</v>
      </c>
      <c r="F725">
        <f>ABS(D725)+1</f>
      </c>
      <c r="G725" t="str">
        <v>→ CP9</v>
      </c>
      <c r="H725" t="str">
        <v>STRONG</v>
      </c>
      <c r="I725">
        <f>IF(F725=1,1,IF(F725&lt;=3,1,IF(F725&lt;=5,3,IF(F725&lt;=7,5,7))))</f>
      </c>
      <c r="J725">
        <f>IF(F725=1,1,IF(F725&lt;=3,3,IF(F725&lt;=5,5,IF(F725&lt;=7,7,9))))</f>
      </c>
      <c r="K725">
        <f>IF(F725=1,1,IF(F725&lt;=3,5,IF(F725&lt;=5,7,IF(F725&lt;=7,9,9))))</f>
      </c>
      <c r="L725" s="1">
        <f>IF(D725&gt;0,1/K725,I725)</f>
      </c>
      <c r="M725" s="1">
        <f>IF(D725&gt;0,1/J725,J725)</f>
      </c>
      <c r="N725" s="1">
        <f>IF(D725&gt;0,1/I725,K725)</f>
      </c>
    </row>
    <row r="726">
      <c r="A726">
        <v>9</v>
      </c>
      <c r="B726" t="str">
        <v>CP2</v>
      </c>
      <c r="C726" t="str">
        <v>CP3</v>
      </c>
      <c r="D726">
        <v>-2</v>
      </c>
      <c r="E726">
        <v>2</v>
      </c>
      <c r="F726">
        <f>ABS(D726)+1</f>
      </c>
      <c r="G726" t="str">
        <v>← CP2</v>
      </c>
      <c r="H726" t="str">
        <v>MODERATE</v>
      </c>
      <c r="I726">
        <f>IF(F726=1,1,IF(F726&lt;=3,1,IF(F726&lt;=5,3,IF(F726&lt;=7,5,7))))</f>
      </c>
      <c r="J726">
        <f>IF(F726=1,1,IF(F726&lt;=3,3,IF(F726&lt;=5,5,IF(F726&lt;=7,7,9))))</f>
      </c>
      <c r="K726">
        <f>IF(F726=1,1,IF(F726&lt;=3,5,IF(F726&lt;=5,7,IF(F726&lt;=7,9,9))))</f>
      </c>
      <c r="L726" s="1">
        <f>IF(D726&gt;0,1/K726,I726)</f>
      </c>
      <c r="M726" s="1">
        <f>IF(D726&gt;0,1/J726,J726)</f>
      </c>
      <c r="N726" s="1">
        <f>IF(D726&gt;0,1/I726,K726)</f>
      </c>
    </row>
    <row r="727">
      <c r="A727">
        <v>10</v>
      </c>
      <c r="B727" t="str">
        <v>CP2</v>
      </c>
      <c r="C727" t="str">
        <v>CP4</v>
      </c>
      <c r="D727">
        <v>0</v>
      </c>
      <c r="E727">
        <v>0</v>
      </c>
      <c r="F727">
        <f>ABS(D727)+1</f>
      </c>
      <c r="G727" t="str">
        <v>= Sama</v>
      </c>
      <c r="H727" t="str">
        <v>EQUAL</v>
      </c>
      <c r="I727">
        <f>IF(F727=1,1,IF(F727&lt;=3,1,IF(F727&lt;=5,3,IF(F727&lt;=7,5,7))))</f>
      </c>
      <c r="J727">
        <f>IF(F727=1,1,IF(F727&lt;=3,3,IF(F727&lt;=5,5,IF(F727&lt;=7,7,9))))</f>
      </c>
      <c r="K727">
        <f>IF(F727=1,1,IF(F727&lt;=3,5,IF(F727&lt;=5,7,IF(F727&lt;=7,9,9))))</f>
      </c>
      <c r="L727" s="1">
        <f>IF(D727&gt;0,1/K727,I727)</f>
      </c>
      <c r="M727" s="1">
        <f>IF(D727&gt;0,1/J727,J727)</f>
      </c>
      <c r="N727" s="1">
        <f>IF(D727&gt;0,1/I727,K727)</f>
      </c>
    </row>
    <row r="728">
      <c r="A728">
        <v>11</v>
      </c>
      <c r="B728" t="str">
        <v>CP2</v>
      </c>
      <c r="C728" t="str">
        <v>CP5</v>
      </c>
      <c r="D728">
        <v>1</v>
      </c>
      <c r="E728">
        <v>1</v>
      </c>
      <c r="F728">
        <f>ABS(D728)+1</f>
      </c>
      <c r="G728" t="str">
        <v>→ CP5</v>
      </c>
      <c r="H728" t="str">
        <v>MODERATE</v>
      </c>
      <c r="I728">
        <f>IF(F728=1,1,IF(F728&lt;=3,1,IF(F728&lt;=5,3,IF(F728&lt;=7,5,7))))</f>
      </c>
      <c r="J728">
        <f>IF(F728=1,1,IF(F728&lt;=3,3,IF(F728&lt;=5,5,IF(F728&lt;=7,7,9))))</f>
      </c>
      <c r="K728">
        <f>IF(F728=1,1,IF(F728&lt;=3,5,IF(F728&lt;=5,7,IF(F728&lt;=7,9,9))))</f>
      </c>
      <c r="L728" s="1">
        <f>IF(D728&gt;0,1/K728,I728)</f>
      </c>
      <c r="M728" s="1">
        <f>IF(D728&gt;0,1/J728,J728)</f>
      </c>
      <c r="N728" s="1">
        <f>IF(D728&gt;0,1/I728,K728)</f>
      </c>
    </row>
    <row r="729">
      <c r="A729">
        <v>12</v>
      </c>
      <c r="B729" t="str">
        <v>CP2</v>
      </c>
      <c r="C729" t="str">
        <v>CP6</v>
      </c>
      <c r="D729">
        <v>-2</v>
      </c>
      <c r="E729">
        <v>2</v>
      </c>
      <c r="F729">
        <f>ABS(D729)+1</f>
      </c>
      <c r="G729" t="str">
        <v>← CP2</v>
      </c>
      <c r="H729" t="str">
        <v>MODERATE</v>
      </c>
      <c r="I729">
        <f>IF(F729=1,1,IF(F729&lt;=3,1,IF(F729&lt;=5,3,IF(F729&lt;=7,5,7))))</f>
      </c>
      <c r="J729">
        <f>IF(F729=1,1,IF(F729&lt;=3,3,IF(F729&lt;=5,5,IF(F729&lt;=7,7,9))))</f>
      </c>
      <c r="K729">
        <f>IF(F729=1,1,IF(F729&lt;=3,5,IF(F729&lt;=5,7,IF(F729&lt;=7,9,9))))</f>
      </c>
      <c r="L729" s="1">
        <f>IF(D729&gt;0,1/K729,I729)</f>
      </c>
      <c r="M729" s="1">
        <f>IF(D729&gt;0,1/J729,J729)</f>
      </c>
      <c r="N729" s="1">
        <f>IF(D729&gt;0,1/I729,K729)</f>
      </c>
    </row>
    <row r="730">
      <c r="A730">
        <v>13</v>
      </c>
      <c r="B730" t="str">
        <v>CP2</v>
      </c>
      <c r="C730" t="str">
        <v>CP7</v>
      </c>
      <c r="D730">
        <v>-8</v>
      </c>
      <c r="E730">
        <v>8</v>
      </c>
      <c r="F730">
        <f>ABS(D730)+1</f>
      </c>
      <c r="G730" t="str">
        <v>← CP2</v>
      </c>
      <c r="H730" t="str">
        <v>EXTREME</v>
      </c>
      <c r="I730">
        <f>IF(F730=1,1,IF(F730&lt;=3,1,IF(F730&lt;=5,3,IF(F730&lt;=7,5,7))))</f>
      </c>
      <c r="J730">
        <f>IF(F730=1,1,IF(F730&lt;=3,3,IF(F730&lt;=5,5,IF(F730&lt;=7,7,9))))</f>
      </c>
      <c r="K730">
        <f>IF(F730=1,1,IF(F730&lt;=3,5,IF(F730&lt;=5,7,IF(F730&lt;=7,9,9))))</f>
      </c>
      <c r="L730" s="1">
        <f>IF(D730&gt;0,1/K730,I730)</f>
      </c>
      <c r="M730" s="1">
        <f>IF(D730&gt;0,1/J730,J730)</f>
      </c>
      <c r="N730" s="1">
        <f>IF(D730&gt;0,1/I730,K730)</f>
      </c>
    </row>
    <row r="731">
      <c r="A731">
        <v>14</v>
      </c>
      <c r="B731" t="str">
        <v>CP2</v>
      </c>
      <c r="C731" t="str">
        <v>CP8</v>
      </c>
      <c r="D731">
        <v>-4</v>
      </c>
      <c r="E731">
        <v>4</v>
      </c>
      <c r="F731">
        <f>ABS(D731)+1</f>
      </c>
      <c r="G731" t="str">
        <v>← CP2</v>
      </c>
      <c r="H731" t="str">
        <v>STRONG</v>
      </c>
      <c r="I731">
        <f>IF(F731=1,1,IF(F731&lt;=3,1,IF(F731&lt;=5,3,IF(F731&lt;=7,5,7))))</f>
      </c>
      <c r="J731">
        <f>IF(F731=1,1,IF(F731&lt;=3,3,IF(F731&lt;=5,5,IF(F731&lt;=7,7,9))))</f>
      </c>
      <c r="K731">
        <f>IF(F731=1,1,IF(F731&lt;=3,5,IF(F731&lt;=5,7,IF(F731&lt;=7,9,9))))</f>
      </c>
      <c r="L731" s="1">
        <f>IF(D731&gt;0,1/K731,I731)</f>
      </c>
      <c r="M731" s="1">
        <f>IF(D731&gt;0,1/J731,J731)</f>
      </c>
      <c r="N731" s="1">
        <f>IF(D731&gt;0,1/I731,K731)</f>
      </c>
    </row>
    <row r="732">
      <c r="A732">
        <v>15</v>
      </c>
      <c r="B732" t="str">
        <v>CP2</v>
      </c>
      <c r="C732" t="str">
        <v>CP9</v>
      </c>
      <c r="D732">
        <v>-1</v>
      </c>
      <c r="E732">
        <v>1</v>
      </c>
      <c r="F732">
        <f>ABS(D732)+1</f>
      </c>
      <c r="G732" t="str">
        <v>← CP2</v>
      </c>
      <c r="H732" t="str">
        <v>MODERATE</v>
      </c>
      <c r="I732">
        <f>IF(F732=1,1,IF(F732&lt;=3,1,IF(F732&lt;=5,3,IF(F732&lt;=7,5,7))))</f>
      </c>
      <c r="J732">
        <f>IF(F732=1,1,IF(F732&lt;=3,3,IF(F732&lt;=5,5,IF(F732&lt;=7,7,9))))</f>
      </c>
      <c r="K732">
        <f>IF(F732=1,1,IF(F732&lt;=3,5,IF(F732&lt;=5,7,IF(F732&lt;=7,9,9))))</f>
      </c>
      <c r="L732" s="1">
        <f>IF(D732&gt;0,1/K732,I732)</f>
      </c>
      <c r="M732" s="1">
        <f>IF(D732&gt;0,1/J732,J732)</f>
      </c>
      <c r="N732" s="1">
        <f>IF(D732&gt;0,1/I732,K732)</f>
      </c>
    </row>
    <row r="733">
      <c r="A733">
        <v>16</v>
      </c>
      <c r="B733" t="str">
        <v>CP3</v>
      </c>
      <c r="C733" t="str">
        <v>CP4</v>
      </c>
      <c r="D733">
        <v>5</v>
      </c>
      <c r="E733">
        <v>5</v>
      </c>
      <c r="F733">
        <f>ABS(D733)+1</f>
      </c>
      <c r="G733" t="str">
        <v>→ CP4</v>
      </c>
      <c r="H733" t="str">
        <v>VERY_STRONG</v>
      </c>
      <c r="I733">
        <f>IF(F733=1,1,IF(F733&lt;=3,1,IF(F733&lt;=5,3,IF(F733&lt;=7,5,7))))</f>
      </c>
      <c r="J733">
        <f>IF(F733=1,1,IF(F733&lt;=3,3,IF(F733&lt;=5,5,IF(F733&lt;=7,7,9))))</f>
      </c>
      <c r="K733">
        <f>IF(F733=1,1,IF(F733&lt;=3,5,IF(F733&lt;=5,7,IF(F733&lt;=7,9,9))))</f>
      </c>
      <c r="L733" s="1">
        <f>IF(D733&gt;0,1/K733,I733)</f>
      </c>
      <c r="M733" s="1">
        <f>IF(D733&gt;0,1/J733,J733)</f>
      </c>
      <c r="N733" s="1">
        <f>IF(D733&gt;0,1/I733,K733)</f>
      </c>
    </row>
    <row r="734">
      <c r="A734">
        <v>17</v>
      </c>
      <c r="B734" t="str">
        <v>CP3</v>
      </c>
      <c r="C734" t="str">
        <v>CP5</v>
      </c>
      <c r="D734">
        <v>1</v>
      </c>
      <c r="E734">
        <v>1</v>
      </c>
      <c r="F734">
        <f>ABS(D734)+1</f>
      </c>
      <c r="G734" t="str">
        <v>→ CP5</v>
      </c>
      <c r="H734" t="str">
        <v>MODERATE</v>
      </c>
      <c r="I734">
        <f>IF(F734=1,1,IF(F734&lt;=3,1,IF(F734&lt;=5,3,IF(F734&lt;=7,5,7))))</f>
      </c>
      <c r="J734">
        <f>IF(F734=1,1,IF(F734&lt;=3,3,IF(F734&lt;=5,5,IF(F734&lt;=7,7,9))))</f>
      </c>
      <c r="K734">
        <f>IF(F734=1,1,IF(F734&lt;=3,5,IF(F734&lt;=5,7,IF(F734&lt;=7,9,9))))</f>
      </c>
      <c r="L734" s="1">
        <f>IF(D734&gt;0,1/K734,I734)</f>
      </c>
      <c r="M734" s="1">
        <f>IF(D734&gt;0,1/J734,J734)</f>
      </c>
      <c r="N734" s="1">
        <f>IF(D734&gt;0,1/I734,K734)</f>
      </c>
    </row>
    <row r="735">
      <c r="A735">
        <v>18</v>
      </c>
      <c r="B735" t="str">
        <v>CP3</v>
      </c>
      <c r="C735" t="str">
        <v>CP6</v>
      </c>
      <c r="D735">
        <v>1</v>
      </c>
      <c r="E735">
        <v>1</v>
      </c>
      <c r="F735">
        <f>ABS(D735)+1</f>
      </c>
      <c r="G735" t="str">
        <v>→ CP6</v>
      </c>
      <c r="H735" t="str">
        <v>MODERATE</v>
      </c>
      <c r="I735">
        <f>IF(F735=1,1,IF(F735&lt;=3,1,IF(F735&lt;=5,3,IF(F735&lt;=7,5,7))))</f>
      </c>
      <c r="J735">
        <f>IF(F735=1,1,IF(F735&lt;=3,3,IF(F735&lt;=5,5,IF(F735&lt;=7,7,9))))</f>
      </c>
      <c r="K735">
        <f>IF(F735=1,1,IF(F735&lt;=3,5,IF(F735&lt;=5,7,IF(F735&lt;=7,9,9))))</f>
      </c>
      <c r="L735" s="1">
        <f>IF(D735&gt;0,1/K735,I735)</f>
      </c>
      <c r="M735" s="1">
        <f>IF(D735&gt;0,1/J735,J735)</f>
      </c>
      <c r="N735" s="1">
        <f>IF(D735&gt;0,1/I735,K735)</f>
      </c>
    </row>
    <row r="736">
      <c r="A736">
        <v>19</v>
      </c>
      <c r="B736" t="str">
        <v>CP3</v>
      </c>
      <c r="C736" t="str">
        <v>CP7</v>
      </c>
      <c r="D736">
        <v>1</v>
      </c>
      <c r="E736">
        <v>1</v>
      </c>
      <c r="F736">
        <f>ABS(D736)+1</f>
      </c>
      <c r="G736" t="str">
        <v>→ CP7</v>
      </c>
      <c r="H736" t="str">
        <v>MODERATE</v>
      </c>
      <c r="I736">
        <f>IF(F736=1,1,IF(F736&lt;=3,1,IF(F736&lt;=5,3,IF(F736&lt;=7,5,7))))</f>
      </c>
      <c r="J736">
        <f>IF(F736=1,1,IF(F736&lt;=3,3,IF(F736&lt;=5,5,IF(F736&lt;=7,7,9))))</f>
      </c>
      <c r="K736">
        <f>IF(F736=1,1,IF(F736&lt;=3,5,IF(F736&lt;=5,7,IF(F736&lt;=7,9,9))))</f>
      </c>
      <c r="L736" s="1">
        <f>IF(D736&gt;0,1/K736,I736)</f>
      </c>
      <c r="M736" s="1">
        <f>IF(D736&gt;0,1/J736,J736)</f>
      </c>
      <c r="N736" s="1">
        <f>IF(D736&gt;0,1/I736,K736)</f>
      </c>
    </row>
    <row r="737">
      <c r="A737">
        <v>20</v>
      </c>
      <c r="B737" t="str">
        <v>CP3</v>
      </c>
      <c r="C737" t="str">
        <v>CP8</v>
      </c>
      <c r="D737">
        <v>2</v>
      </c>
      <c r="E737">
        <v>2</v>
      </c>
      <c r="F737">
        <f>ABS(D737)+1</f>
      </c>
      <c r="G737" t="str">
        <v>→ CP8</v>
      </c>
      <c r="H737" t="str">
        <v>MODERATE</v>
      </c>
      <c r="I737">
        <f>IF(F737=1,1,IF(F737&lt;=3,1,IF(F737&lt;=5,3,IF(F737&lt;=7,5,7))))</f>
      </c>
      <c r="J737">
        <f>IF(F737=1,1,IF(F737&lt;=3,3,IF(F737&lt;=5,5,IF(F737&lt;=7,7,9))))</f>
      </c>
      <c r="K737">
        <f>IF(F737=1,1,IF(F737&lt;=3,5,IF(F737&lt;=5,7,IF(F737&lt;=7,9,9))))</f>
      </c>
      <c r="L737" s="1">
        <f>IF(D737&gt;0,1/K737,I737)</f>
      </c>
      <c r="M737" s="1">
        <f>IF(D737&gt;0,1/J737,J737)</f>
      </c>
      <c r="N737" s="1">
        <f>IF(D737&gt;0,1/I737,K737)</f>
      </c>
    </row>
    <row r="738">
      <c r="A738">
        <v>21</v>
      </c>
      <c r="B738" t="str">
        <v>CP3</v>
      </c>
      <c r="C738" t="str">
        <v>CP9</v>
      </c>
      <c r="D738">
        <v>2</v>
      </c>
      <c r="E738">
        <v>2</v>
      </c>
      <c r="F738">
        <f>ABS(D738)+1</f>
      </c>
      <c r="G738" t="str">
        <v>→ CP9</v>
      </c>
      <c r="H738" t="str">
        <v>MODERATE</v>
      </c>
      <c r="I738">
        <f>IF(F738=1,1,IF(F738&lt;=3,1,IF(F738&lt;=5,3,IF(F738&lt;=7,5,7))))</f>
      </c>
      <c r="J738">
        <f>IF(F738=1,1,IF(F738&lt;=3,3,IF(F738&lt;=5,5,IF(F738&lt;=7,7,9))))</f>
      </c>
      <c r="K738">
        <f>IF(F738=1,1,IF(F738&lt;=3,5,IF(F738&lt;=5,7,IF(F738&lt;=7,9,9))))</f>
      </c>
      <c r="L738" s="1">
        <f>IF(D738&gt;0,1/K738,I738)</f>
      </c>
      <c r="M738" s="1">
        <f>IF(D738&gt;0,1/J738,J738)</f>
      </c>
      <c r="N738" s="1">
        <f>IF(D738&gt;0,1/I738,K738)</f>
      </c>
    </row>
    <row r="739">
      <c r="A739">
        <v>22</v>
      </c>
      <c r="B739" t="str">
        <v>CP4</v>
      </c>
      <c r="C739" t="str">
        <v>CP5</v>
      </c>
      <c r="D739">
        <v>1</v>
      </c>
      <c r="E739">
        <v>1</v>
      </c>
      <c r="F739">
        <f>ABS(D739)+1</f>
      </c>
      <c r="G739" t="str">
        <v>→ CP5</v>
      </c>
      <c r="H739" t="str">
        <v>MODERATE</v>
      </c>
      <c r="I739">
        <f>IF(F739=1,1,IF(F739&lt;=3,1,IF(F739&lt;=5,3,IF(F739&lt;=7,5,7))))</f>
      </c>
      <c r="J739">
        <f>IF(F739=1,1,IF(F739&lt;=3,3,IF(F739&lt;=5,5,IF(F739&lt;=7,7,9))))</f>
      </c>
      <c r="K739">
        <f>IF(F739=1,1,IF(F739&lt;=3,5,IF(F739&lt;=5,7,IF(F739&lt;=7,9,9))))</f>
      </c>
      <c r="L739" s="1">
        <f>IF(D739&gt;0,1/K739,I739)</f>
      </c>
      <c r="M739" s="1">
        <f>IF(D739&gt;0,1/J739,J739)</f>
      </c>
      <c r="N739" s="1">
        <f>IF(D739&gt;0,1/I739,K739)</f>
      </c>
    </row>
    <row r="740">
      <c r="A740">
        <v>23</v>
      </c>
      <c r="B740" t="str">
        <v>CP4</v>
      </c>
      <c r="C740" t="str">
        <v>CP6</v>
      </c>
      <c r="D740">
        <v>-7</v>
      </c>
      <c r="E740">
        <v>7</v>
      </c>
      <c r="F740">
        <f>ABS(D740)+1</f>
      </c>
      <c r="G740" t="str">
        <v>← CP4</v>
      </c>
      <c r="H740" t="str">
        <v>EXTREME</v>
      </c>
      <c r="I740">
        <f>IF(F740=1,1,IF(F740&lt;=3,1,IF(F740&lt;=5,3,IF(F740&lt;=7,5,7))))</f>
      </c>
      <c r="J740">
        <f>IF(F740=1,1,IF(F740&lt;=3,3,IF(F740&lt;=5,5,IF(F740&lt;=7,7,9))))</f>
      </c>
      <c r="K740">
        <f>IF(F740=1,1,IF(F740&lt;=3,5,IF(F740&lt;=5,7,IF(F740&lt;=7,9,9))))</f>
      </c>
      <c r="L740" s="1">
        <f>IF(D740&gt;0,1/K740,I740)</f>
      </c>
      <c r="M740" s="1">
        <f>IF(D740&gt;0,1/J740,J740)</f>
      </c>
      <c r="N740" s="1">
        <f>IF(D740&gt;0,1/I740,K740)</f>
      </c>
    </row>
    <row r="741">
      <c r="A741">
        <v>24</v>
      </c>
      <c r="B741" t="str">
        <v>CP4</v>
      </c>
      <c r="C741" t="str">
        <v>CP7</v>
      </c>
      <c r="D741">
        <v>-3</v>
      </c>
      <c r="E741">
        <v>3</v>
      </c>
      <c r="F741">
        <f>ABS(D741)+1</f>
      </c>
      <c r="G741" t="str">
        <v>← CP4</v>
      </c>
      <c r="H741" t="str">
        <v>STRONG</v>
      </c>
      <c r="I741">
        <f>IF(F741=1,1,IF(F741&lt;=3,1,IF(F741&lt;=5,3,IF(F741&lt;=7,5,7))))</f>
      </c>
      <c r="J741">
        <f>IF(F741=1,1,IF(F741&lt;=3,3,IF(F741&lt;=5,5,IF(F741&lt;=7,7,9))))</f>
      </c>
      <c r="K741">
        <f>IF(F741=1,1,IF(F741&lt;=3,5,IF(F741&lt;=5,7,IF(F741&lt;=7,9,9))))</f>
      </c>
      <c r="L741" s="1">
        <f>IF(D741&gt;0,1/K741,I741)</f>
      </c>
      <c r="M741" s="1">
        <f>IF(D741&gt;0,1/J741,J741)</f>
      </c>
      <c r="N741" s="1">
        <f>IF(D741&gt;0,1/I741,K741)</f>
      </c>
    </row>
    <row r="742">
      <c r="A742">
        <v>25</v>
      </c>
      <c r="B742" t="str">
        <v>CP4</v>
      </c>
      <c r="C742" t="str">
        <v>CP8</v>
      </c>
      <c r="D742">
        <v>-3</v>
      </c>
      <c r="E742">
        <v>3</v>
      </c>
      <c r="F742">
        <f>ABS(D742)+1</f>
      </c>
      <c r="G742" t="str">
        <v>← CP4</v>
      </c>
      <c r="H742" t="str">
        <v>STRONG</v>
      </c>
      <c r="I742">
        <f>IF(F742=1,1,IF(F742&lt;=3,1,IF(F742&lt;=5,3,IF(F742&lt;=7,5,7))))</f>
      </c>
      <c r="J742">
        <f>IF(F742=1,1,IF(F742&lt;=3,3,IF(F742&lt;=5,5,IF(F742&lt;=7,7,9))))</f>
      </c>
      <c r="K742">
        <f>IF(F742=1,1,IF(F742&lt;=3,5,IF(F742&lt;=5,7,IF(F742&lt;=7,9,9))))</f>
      </c>
      <c r="L742" s="1">
        <f>IF(D742&gt;0,1/K742,I742)</f>
      </c>
      <c r="M742" s="1">
        <f>IF(D742&gt;0,1/J742,J742)</f>
      </c>
      <c r="N742" s="1">
        <f>IF(D742&gt;0,1/I742,K742)</f>
      </c>
    </row>
    <row r="743">
      <c r="A743">
        <v>26</v>
      </c>
      <c r="B743" t="str">
        <v>CP4</v>
      </c>
      <c r="C743" t="str">
        <v>CP9</v>
      </c>
      <c r="D743">
        <v>-3</v>
      </c>
      <c r="E743">
        <v>3</v>
      </c>
      <c r="F743">
        <f>ABS(D743)+1</f>
      </c>
      <c r="G743" t="str">
        <v>← CP4</v>
      </c>
      <c r="H743" t="str">
        <v>STRONG</v>
      </c>
      <c r="I743">
        <f>IF(F743=1,1,IF(F743&lt;=3,1,IF(F743&lt;=5,3,IF(F743&lt;=7,5,7))))</f>
      </c>
      <c r="J743">
        <f>IF(F743=1,1,IF(F743&lt;=3,3,IF(F743&lt;=5,5,IF(F743&lt;=7,7,9))))</f>
      </c>
      <c r="K743">
        <f>IF(F743=1,1,IF(F743&lt;=3,5,IF(F743&lt;=5,7,IF(F743&lt;=7,9,9))))</f>
      </c>
      <c r="L743" s="1">
        <f>IF(D743&gt;0,1/K743,I743)</f>
      </c>
      <c r="M743" s="1">
        <f>IF(D743&gt;0,1/J743,J743)</f>
      </c>
      <c r="N743" s="1">
        <f>IF(D743&gt;0,1/I743,K743)</f>
      </c>
    </row>
    <row r="744">
      <c r="A744">
        <v>27</v>
      </c>
      <c r="B744" t="str">
        <v>CP5</v>
      </c>
      <c r="C744" t="str">
        <v>CP6</v>
      </c>
      <c r="D744">
        <v>2</v>
      </c>
      <c r="E744">
        <v>2</v>
      </c>
      <c r="F744">
        <f>ABS(D744)+1</f>
      </c>
      <c r="G744" t="str">
        <v>→ CP6</v>
      </c>
      <c r="H744" t="str">
        <v>MODERATE</v>
      </c>
      <c r="I744">
        <f>IF(F744=1,1,IF(F744&lt;=3,1,IF(F744&lt;=5,3,IF(F744&lt;=7,5,7))))</f>
      </c>
      <c r="J744">
        <f>IF(F744=1,1,IF(F744&lt;=3,3,IF(F744&lt;=5,5,IF(F744&lt;=7,7,9))))</f>
      </c>
      <c r="K744">
        <f>IF(F744=1,1,IF(F744&lt;=3,5,IF(F744&lt;=5,7,IF(F744&lt;=7,9,9))))</f>
      </c>
      <c r="L744" s="1">
        <f>IF(D744&gt;0,1/K744,I744)</f>
      </c>
      <c r="M744" s="1">
        <f>IF(D744&gt;0,1/J744,J744)</f>
      </c>
      <c r="N744" s="1">
        <f>IF(D744&gt;0,1/I744,K744)</f>
      </c>
    </row>
    <row r="745">
      <c r="A745">
        <v>28</v>
      </c>
      <c r="B745" t="str">
        <v>CP5</v>
      </c>
      <c r="C745" t="str">
        <v>CP7</v>
      </c>
      <c r="D745">
        <v>2</v>
      </c>
      <c r="E745">
        <v>2</v>
      </c>
      <c r="F745">
        <f>ABS(D745)+1</f>
      </c>
      <c r="G745" t="str">
        <v>→ CP7</v>
      </c>
      <c r="H745" t="str">
        <v>MODERATE</v>
      </c>
      <c r="I745">
        <f>IF(F745=1,1,IF(F745&lt;=3,1,IF(F745&lt;=5,3,IF(F745&lt;=7,5,7))))</f>
      </c>
      <c r="J745">
        <f>IF(F745=1,1,IF(F745&lt;=3,3,IF(F745&lt;=5,5,IF(F745&lt;=7,7,9))))</f>
      </c>
      <c r="K745">
        <f>IF(F745=1,1,IF(F745&lt;=3,5,IF(F745&lt;=5,7,IF(F745&lt;=7,9,9))))</f>
      </c>
      <c r="L745" s="1">
        <f>IF(D745&gt;0,1/K745,I745)</f>
      </c>
      <c r="M745" s="1">
        <f>IF(D745&gt;0,1/J745,J745)</f>
      </c>
      <c r="N745" s="1">
        <f>IF(D745&gt;0,1/I745,K745)</f>
      </c>
    </row>
    <row r="746">
      <c r="A746">
        <v>29</v>
      </c>
      <c r="B746" t="str">
        <v>CP5</v>
      </c>
      <c r="C746" t="str">
        <v>CP8</v>
      </c>
      <c r="D746">
        <v>3</v>
      </c>
      <c r="E746">
        <v>3</v>
      </c>
      <c r="F746">
        <f>ABS(D746)+1</f>
      </c>
      <c r="G746" t="str">
        <v>→ CP8</v>
      </c>
      <c r="H746" t="str">
        <v>STRONG</v>
      </c>
      <c r="I746">
        <f>IF(F746=1,1,IF(F746&lt;=3,1,IF(F746&lt;=5,3,IF(F746&lt;=7,5,7))))</f>
      </c>
      <c r="J746">
        <f>IF(F746=1,1,IF(F746&lt;=3,3,IF(F746&lt;=5,5,IF(F746&lt;=7,7,9))))</f>
      </c>
      <c r="K746">
        <f>IF(F746=1,1,IF(F746&lt;=3,5,IF(F746&lt;=5,7,IF(F746&lt;=7,9,9))))</f>
      </c>
      <c r="L746" s="1">
        <f>IF(D746&gt;0,1/K746,I746)</f>
      </c>
      <c r="M746" s="1">
        <f>IF(D746&gt;0,1/J746,J746)</f>
      </c>
      <c r="N746" s="1">
        <f>IF(D746&gt;0,1/I746,K746)</f>
      </c>
    </row>
    <row r="747">
      <c r="A747">
        <v>30</v>
      </c>
      <c r="B747" t="str">
        <v>CP5</v>
      </c>
      <c r="C747" t="str">
        <v>CP9</v>
      </c>
      <c r="D747">
        <v>2</v>
      </c>
      <c r="E747">
        <v>2</v>
      </c>
      <c r="F747">
        <f>ABS(D747)+1</f>
      </c>
      <c r="G747" t="str">
        <v>→ CP9</v>
      </c>
      <c r="H747" t="str">
        <v>MODERATE</v>
      </c>
      <c r="I747">
        <f>IF(F747=1,1,IF(F747&lt;=3,1,IF(F747&lt;=5,3,IF(F747&lt;=7,5,7))))</f>
      </c>
      <c r="J747">
        <f>IF(F747=1,1,IF(F747&lt;=3,3,IF(F747&lt;=5,5,IF(F747&lt;=7,7,9))))</f>
      </c>
      <c r="K747">
        <f>IF(F747=1,1,IF(F747&lt;=3,5,IF(F747&lt;=5,7,IF(F747&lt;=7,9,9))))</f>
      </c>
      <c r="L747" s="1">
        <f>IF(D747&gt;0,1/K747,I747)</f>
      </c>
      <c r="M747" s="1">
        <f>IF(D747&gt;0,1/J747,J747)</f>
      </c>
      <c r="N747" s="1">
        <f>IF(D747&gt;0,1/I747,K747)</f>
      </c>
    </row>
    <row r="748">
      <c r="A748">
        <v>31</v>
      </c>
      <c r="B748" t="str">
        <v>CP6</v>
      </c>
      <c r="C748" t="str">
        <v>CP7</v>
      </c>
      <c r="D748">
        <v>2</v>
      </c>
      <c r="E748">
        <v>2</v>
      </c>
      <c r="F748">
        <f>ABS(D748)+1</f>
      </c>
      <c r="G748" t="str">
        <v>→ CP7</v>
      </c>
      <c r="H748" t="str">
        <v>MODERATE</v>
      </c>
      <c r="I748">
        <f>IF(F748=1,1,IF(F748&lt;=3,1,IF(F748&lt;=5,3,IF(F748&lt;=7,5,7))))</f>
      </c>
      <c r="J748">
        <f>IF(F748=1,1,IF(F748&lt;=3,3,IF(F748&lt;=5,5,IF(F748&lt;=7,7,9))))</f>
      </c>
      <c r="K748">
        <f>IF(F748=1,1,IF(F748&lt;=3,5,IF(F748&lt;=5,7,IF(F748&lt;=7,9,9))))</f>
      </c>
      <c r="L748" s="1">
        <f>IF(D748&gt;0,1/K748,I748)</f>
      </c>
      <c r="M748" s="1">
        <f>IF(D748&gt;0,1/J748,J748)</f>
      </c>
      <c r="N748" s="1">
        <f>IF(D748&gt;0,1/I748,K748)</f>
      </c>
    </row>
    <row r="749">
      <c r="A749">
        <v>32</v>
      </c>
      <c r="B749" t="str">
        <v>CP6</v>
      </c>
      <c r="C749" t="str">
        <v>CP8</v>
      </c>
      <c r="D749">
        <v>1</v>
      </c>
      <c r="E749">
        <v>1</v>
      </c>
      <c r="F749">
        <f>ABS(D749)+1</f>
      </c>
      <c r="G749" t="str">
        <v>→ CP8</v>
      </c>
      <c r="H749" t="str">
        <v>MODERATE</v>
      </c>
      <c r="I749">
        <f>IF(F749=1,1,IF(F749&lt;=3,1,IF(F749&lt;=5,3,IF(F749&lt;=7,5,7))))</f>
      </c>
      <c r="J749">
        <f>IF(F749=1,1,IF(F749&lt;=3,3,IF(F749&lt;=5,5,IF(F749&lt;=7,7,9))))</f>
      </c>
      <c r="K749">
        <f>IF(F749=1,1,IF(F749&lt;=3,5,IF(F749&lt;=5,7,IF(F749&lt;=7,9,9))))</f>
      </c>
      <c r="L749" s="1">
        <f>IF(D749&gt;0,1/K749,I749)</f>
      </c>
      <c r="M749" s="1">
        <f>IF(D749&gt;0,1/J749,J749)</f>
      </c>
      <c r="N749" s="1">
        <f>IF(D749&gt;0,1/I749,K749)</f>
      </c>
    </row>
    <row r="750">
      <c r="A750">
        <v>33</v>
      </c>
      <c r="B750" t="str">
        <v>CP6</v>
      </c>
      <c r="C750" t="str">
        <v>CP9</v>
      </c>
      <c r="D750">
        <v>1</v>
      </c>
      <c r="E750">
        <v>1</v>
      </c>
      <c r="F750">
        <f>ABS(D750)+1</f>
      </c>
      <c r="G750" t="str">
        <v>→ CP9</v>
      </c>
      <c r="H750" t="str">
        <v>MODERATE</v>
      </c>
      <c r="I750">
        <f>IF(F750=1,1,IF(F750&lt;=3,1,IF(F750&lt;=5,3,IF(F750&lt;=7,5,7))))</f>
      </c>
      <c r="J750">
        <f>IF(F750=1,1,IF(F750&lt;=3,3,IF(F750&lt;=5,5,IF(F750&lt;=7,7,9))))</f>
      </c>
      <c r="K750">
        <f>IF(F750=1,1,IF(F750&lt;=3,5,IF(F750&lt;=5,7,IF(F750&lt;=7,9,9))))</f>
      </c>
      <c r="L750" s="1">
        <f>IF(D750&gt;0,1/K750,I750)</f>
      </c>
      <c r="M750" s="1">
        <f>IF(D750&gt;0,1/J750,J750)</f>
      </c>
      <c r="N750" s="1">
        <f>IF(D750&gt;0,1/I750,K750)</f>
      </c>
    </row>
    <row r="751">
      <c r="A751">
        <v>34</v>
      </c>
      <c r="B751" t="str">
        <v>CP7</v>
      </c>
      <c r="C751" t="str">
        <v>CP8</v>
      </c>
      <c r="D751">
        <v>2</v>
      </c>
      <c r="E751">
        <v>2</v>
      </c>
      <c r="F751">
        <f>ABS(D751)+1</f>
      </c>
      <c r="G751" t="str">
        <v>→ CP8</v>
      </c>
      <c r="H751" t="str">
        <v>MODERATE</v>
      </c>
      <c r="I751">
        <f>IF(F751=1,1,IF(F751&lt;=3,1,IF(F751&lt;=5,3,IF(F751&lt;=7,5,7))))</f>
      </c>
      <c r="J751">
        <f>IF(F751=1,1,IF(F751&lt;=3,3,IF(F751&lt;=5,5,IF(F751&lt;=7,7,9))))</f>
      </c>
      <c r="K751">
        <f>IF(F751=1,1,IF(F751&lt;=3,5,IF(F751&lt;=5,7,IF(F751&lt;=7,9,9))))</f>
      </c>
      <c r="L751" s="1">
        <f>IF(D751&gt;0,1/K751,I751)</f>
      </c>
      <c r="M751" s="1">
        <f>IF(D751&gt;0,1/J751,J751)</f>
      </c>
      <c r="N751" s="1">
        <f>IF(D751&gt;0,1/I751,K751)</f>
      </c>
    </row>
    <row r="752">
      <c r="A752">
        <v>35</v>
      </c>
      <c r="B752" t="str">
        <v>CP7</v>
      </c>
      <c r="C752" t="str">
        <v>CP9</v>
      </c>
      <c r="D752">
        <v>-1</v>
      </c>
      <c r="E752">
        <v>1</v>
      </c>
      <c r="F752">
        <f>ABS(D752)+1</f>
      </c>
      <c r="G752" t="str">
        <v>← CP7</v>
      </c>
      <c r="H752" t="str">
        <v>MODERATE</v>
      </c>
      <c r="I752">
        <f>IF(F752=1,1,IF(F752&lt;=3,1,IF(F752&lt;=5,3,IF(F752&lt;=7,5,7))))</f>
      </c>
      <c r="J752">
        <f>IF(F752=1,1,IF(F752&lt;=3,3,IF(F752&lt;=5,5,IF(F752&lt;=7,7,9))))</f>
      </c>
      <c r="K752">
        <f>IF(F752=1,1,IF(F752&lt;=3,5,IF(F752&lt;=5,7,IF(F752&lt;=7,9,9))))</f>
      </c>
      <c r="L752" s="1">
        <f>IF(D752&gt;0,1/K752,I752)</f>
      </c>
      <c r="M752" s="1">
        <f>IF(D752&gt;0,1/J752,J752)</f>
      </c>
      <c r="N752" s="1">
        <f>IF(D752&gt;0,1/I752,K752)</f>
      </c>
    </row>
    <row r="753">
      <c r="A753">
        <v>36</v>
      </c>
      <c r="B753" t="str">
        <v>CP8</v>
      </c>
      <c r="C753" t="str">
        <v>CP9</v>
      </c>
      <c r="D753">
        <v>-4</v>
      </c>
      <c r="E753">
        <v>4</v>
      </c>
      <c r="F753">
        <f>ABS(D753)+1</f>
      </c>
      <c r="G753" t="str">
        <v>← CP8</v>
      </c>
      <c r="H753" t="str">
        <v>STRONG</v>
      </c>
      <c r="I753">
        <f>IF(F753=1,1,IF(F753&lt;=3,1,IF(F753&lt;=5,3,IF(F753&lt;=7,5,7))))</f>
      </c>
      <c r="J753">
        <f>IF(F753=1,1,IF(F753&lt;=3,3,IF(F753&lt;=5,5,IF(F753&lt;=7,7,9))))</f>
      </c>
      <c r="K753">
        <f>IF(F753=1,1,IF(F753&lt;=3,5,IF(F753&lt;=5,7,IF(F753&lt;=7,9,9))))</f>
      </c>
      <c r="L753" s="1">
        <f>IF(D753&gt;0,1/K753,I753)</f>
      </c>
      <c r="M753" s="1">
        <f>IF(D753&gt;0,1/J753,J753)</f>
      </c>
      <c r="N753" s="1">
        <f>IF(D753&gt;0,1/I753,K753)</f>
      </c>
    </row>
    <row r="756">
      <c r="A756" t="str">
        <v>═══ RESPONDEN 19: Dr. Yenni Kurniati, M.Si ═══</v>
      </c>
    </row>
    <row r="757">
      <c r="A757" t="str">
        <v>Jabatan:  Kepala Pusat Halal LPPM UIN Suska Riau/Auditor | Instansi:  Pusat Halal LPPM UIN Suska Riau</v>
      </c>
    </row>
    <row r="758">
      <c r="A758" t="str">
        <v>No</v>
      </c>
      <c r="B758" t="str">
        <v>Krit. A</v>
      </c>
      <c r="C758" t="str">
        <v>Krit. B</v>
      </c>
      <c r="D758" t="str">
        <v>Slider</v>
      </c>
      <c r="E758" t="str">
        <v>|Slider|</v>
      </c>
      <c r="F758" t="str">
        <v>absVal</v>
      </c>
      <c r="G758" t="str">
        <v>Arah</v>
      </c>
      <c r="H758" t="str">
        <v>Fuzzy</v>
      </c>
      <c r="I758" t="str">
        <v>l_orig</v>
      </c>
      <c r="J758" t="str">
        <v>m_orig</v>
      </c>
      <c r="K758" t="str">
        <v>u_orig</v>
      </c>
      <c r="L758" t="str">
        <v>TFN_l</v>
      </c>
      <c r="M758" t="str">
        <v>TFN_m</v>
      </c>
      <c r="N758" t="str">
        <v>TFN_u</v>
      </c>
    </row>
    <row r="759">
      <c r="A759">
        <v>1</v>
      </c>
      <c r="B759" t="str">
        <v>CP1</v>
      </c>
      <c r="C759" t="str">
        <v>CP2</v>
      </c>
      <c r="D759">
        <v>-6</v>
      </c>
      <c r="E759">
        <v>6</v>
      </c>
      <c r="F759">
        <f>ABS(D759)+1</f>
      </c>
      <c r="G759" t="str">
        <v>← CP1</v>
      </c>
      <c r="H759" t="str">
        <v>VERY_STRONG</v>
      </c>
      <c r="I759">
        <f>IF(F759=1,1,IF(F759&lt;=3,1,IF(F759&lt;=5,3,IF(F759&lt;=7,5,7))))</f>
      </c>
      <c r="J759">
        <f>IF(F759=1,1,IF(F759&lt;=3,3,IF(F759&lt;=5,5,IF(F759&lt;=7,7,9))))</f>
      </c>
      <c r="K759">
        <f>IF(F759=1,1,IF(F759&lt;=3,5,IF(F759&lt;=5,7,IF(F759&lt;=7,9,9))))</f>
      </c>
      <c r="L759" s="1">
        <f>IF(D759&gt;0,1/K759,I759)</f>
      </c>
      <c r="M759" s="1">
        <f>IF(D759&gt;0,1/J759,J759)</f>
      </c>
      <c r="N759" s="1">
        <f>IF(D759&gt;0,1/I759,K759)</f>
      </c>
    </row>
    <row r="760">
      <c r="A760">
        <v>2</v>
      </c>
      <c r="B760" t="str">
        <v>CP1</v>
      </c>
      <c r="C760" t="str">
        <v>CP3</v>
      </c>
      <c r="D760">
        <v>5</v>
      </c>
      <c r="E760">
        <v>5</v>
      </c>
      <c r="F760">
        <f>ABS(D760)+1</f>
      </c>
      <c r="G760" t="str">
        <v>→ CP3</v>
      </c>
      <c r="H760" t="str">
        <v>VERY_STRONG</v>
      </c>
      <c r="I760">
        <f>IF(F760=1,1,IF(F760&lt;=3,1,IF(F760&lt;=5,3,IF(F760&lt;=7,5,7))))</f>
      </c>
      <c r="J760">
        <f>IF(F760=1,1,IF(F760&lt;=3,3,IF(F760&lt;=5,5,IF(F760&lt;=7,7,9))))</f>
      </c>
      <c r="K760">
        <f>IF(F760=1,1,IF(F760&lt;=3,5,IF(F760&lt;=5,7,IF(F760&lt;=7,9,9))))</f>
      </c>
      <c r="L760" s="1">
        <f>IF(D760&gt;0,1/K760,I760)</f>
      </c>
      <c r="M760" s="1">
        <f>IF(D760&gt;0,1/J760,J760)</f>
      </c>
      <c r="N760" s="1">
        <f>IF(D760&gt;0,1/I760,K760)</f>
      </c>
    </row>
    <row r="761">
      <c r="A761">
        <v>3</v>
      </c>
      <c r="B761" t="str">
        <v>CP1</v>
      </c>
      <c r="C761" t="str">
        <v>CP4</v>
      </c>
      <c r="D761">
        <v>8</v>
      </c>
      <c r="E761">
        <v>8</v>
      </c>
      <c r="F761">
        <f>ABS(D761)+1</f>
      </c>
      <c r="G761" t="str">
        <v>→ CP4</v>
      </c>
      <c r="H761" t="str">
        <v>EXTREME</v>
      </c>
      <c r="I761">
        <f>IF(F761=1,1,IF(F761&lt;=3,1,IF(F761&lt;=5,3,IF(F761&lt;=7,5,7))))</f>
      </c>
      <c r="J761">
        <f>IF(F761=1,1,IF(F761&lt;=3,3,IF(F761&lt;=5,5,IF(F761&lt;=7,7,9))))</f>
      </c>
      <c r="K761">
        <f>IF(F761=1,1,IF(F761&lt;=3,5,IF(F761&lt;=5,7,IF(F761&lt;=7,9,9))))</f>
      </c>
      <c r="L761" s="1">
        <f>IF(D761&gt;0,1/K761,I761)</f>
      </c>
      <c r="M761" s="1">
        <f>IF(D761&gt;0,1/J761,J761)</f>
      </c>
      <c r="N761" s="1">
        <f>IF(D761&gt;0,1/I761,K761)</f>
      </c>
    </row>
    <row r="762">
      <c r="A762">
        <v>4</v>
      </c>
      <c r="B762" t="str">
        <v>CP1</v>
      </c>
      <c r="C762" t="str">
        <v>CP5</v>
      </c>
      <c r="D762">
        <v>8</v>
      </c>
      <c r="E762">
        <v>8</v>
      </c>
      <c r="F762">
        <f>ABS(D762)+1</f>
      </c>
      <c r="G762" t="str">
        <v>→ CP5</v>
      </c>
      <c r="H762" t="str">
        <v>EXTREME</v>
      </c>
      <c r="I762">
        <f>IF(F762=1,1,IF(F762&lt;=3,1,IF(F762&lt;=5,3,IF(F762&lt;=7,5,7))))</f>
      </c>
      <c r="J762">
        <f>IF(F762=1,1,IF(F762&lt;=3,3,IF(F762&lt;=5,5,IF(F762&lt;=7,7,9))))</f>
      </c>
      <c r="K762">
        <f>IF(F762=1,1,IF(F762&lt;=3,5,IF(F762&lt;=5,7,IF(F762&lt;=7,9,9))))</f>
      </c>
      <c r="L762" s="1">
        <f>IF(D762&gt;0,1/K762,I762)</f>
      </c>
      <c r="M762" s="1">
        <f>IF(D762&gt;0,1/J762,J762)</f>
      </c>
      <c r="N762" s="1">
        <f>IF(D762&gt;0,1/I762,K762)</f>
      </c>
    </row>
    <row r="763">
      <c r="A763">
        <v>5</v>
      </c>
      <c r="B763" t="str">
        <v>CP1</v>
      </c>
      <c r="C763" t="str">
        <v>CP6</v>
      </c>
      <c r="D763">
        <v>6</v>
      </c>
      <c r="E763">
        <v>6</v>
      </c>
      <c r="F763">
        <f>ABS(D763)+1</f>
      </c>
      <c r="G763" t="str">
        <v>→ CP6</v>
      </c>
      <c r="H763" t="str">
        <v>VERY_STRONG</v>
      </c>
      <c r="I763">
        <f>IF(F763=1,1,IF(F763&lt;=3,1,IF(F763&lt;=5,3,IF(F763&lt;=7,5,7))))</f>
      </c>
      <c r="J763">
        <f>IF(F763=1,1,IF(F763&lt;=3,3,IF(F763&lt;=5,5,IF(F763&lt;=7,7,9))))</f>
      </c>
      <c r="K763">
        <f>IF(F763=1,1,IF(F763&lt;=3,5,IF(F763&lt;=5,7,IF(F763&lt;=7,9,9))))</f>
      </c>
      <c r="L763" s="1">
        <f>IF(D763&gt;0,1/K763,I763)</f>
      </c>
      <c r="M763" s="1">
        <f>IF(D763&gt;0,1/J763,J763)</f>
      </c>
      <c r="N763" s="1">
        <f>IF(D763&gt;0,1/I763,K763)</f>
      </c>
    </row>
    <row r="764">
      <c r="A764">
        <v>6</v>
      </c>
      <c r="B764" t="str">
        <v>CP1</v>
      </c>
      <c r="C764" t="str">
        <v>CP7</v>
      </c>
      <c r="D764">
        <v>5</v>
      </c>
      <c r="E764">
        <v>5</v>
      </c>
      <c r="F764">
        <f>ABS(D764)+1</f>
      </c>
      <c r="G764" t="str">
        <v>→ CP7</v>
      </c>
      <c r="H764" t="str">
        <v>VERY_STRONG</v>
      </c>
      <c r="I764">
        <f>IF(F764=1,1,IF(F764&lt;=3,1,IF(F764&lt;=5,3,IF(F764&lt;=7,5,7))))</f>
      </c>
      <c r="J764">
        <f>IF(F764=1,1,IF(F764&lt;=3,3,IF(F764&lt;=5,5,IF(F764&lt;=7,7,9))))</f>
      </c>
      <c r="K764">
        <f>IF(F764=1,1,IF(F764&lt;=3,5,IF(F764&lt;=5,7,IF(F764&lt;=7,9,9))))</f>
      </c>
      <c r="L764" s="1">
        <f>IF(D764&gt;0,1/K764,I764)</f>
      </c>
      <c r="M764" s="1">
        <f>IF(D764&gt;0,1/J764,J764)</f>
      </c>
      <c r="N764" s="1">
        <f>IF(D764&gt;0,1/I764,K764)</f>
      </c>
    </row>
    <row r="765">
      <c r="A765">
        <v>7</v>
      </c>
      <c r="B765" t="str">
        <v>CP1</v>
      </c>
      <c r="C765" t="str">
        <v>CP8</v>
      </c>
      <c r="D765">
        <v>4</v>
      </c>
      <c r="E765">
        <v>4</v>
      </c>
      <c r="F765">
        <f>ABS(D765)+1</f>
      </c>
      <c r="G765" t="str">
        <v>→ CP8</v>
      </c>
      <c r="H765" t="str">
        <v>STRONG</v>
      </c>
      <c r="I765">
        <f>IF(F765=1,1,IF(F765&lt;=3,1,IF(F765&lt;=5,3,IF(F765&lt;=7,5,7))))</f>
      </c>
      <c r="J765">
        <f>IF(F765=1,1,IF(F765&lt;=3,3,IF(F765&lt;=5,5,IF(F765&lt;=7,7,9))))</f>
      </c>
      <c r="K765">
        <f>IF(F765=1,1,IF(F765&lt;=3,5,IF(F765&lt;=5,7,IF(F765&lt;=7,9,9))))</f>
      </c>
      <c r="L765" s="1">
        <f>IF(D765&gt;0,1/K765,I765)</f>
      </c>
      <c r="M765" s="1">
        <f>IF(D765&gt;0,1/J765,J765)</f>
      </c>
      <c r="N765" s="1">
        <f>IF(D765&gt;0,1/I765,K765)</f>
      </c>
    </row>
    <row r="766">
      <c r="A766">
        <v>8</v>
      </c>
      <c r="B766" t="str">
        <v>CP1</v>
      </c>
      <c r="C766" t="str">
        <v>CP9</v>
      </c>
      <c r="D766">
        <v>-6</v>
      </c>
      <c r="E766">
        <v>6</v>
      </c>
      <c r="F766">
        <f>ABS(D766)+1</f>
      </c>
      <c r="G766" t="str">
        <v>← CP1</v>
      </c>
      <c r="H766" t="str">
        <v>VERY_STRONG</v>
      </c>
      <c r="I766">
        <f>IF(F766=1,1,IF(F766&lt;=3,1,IF(F766&lt;=5,3,IF(F766&lt;=7,5,7))))</f>
      </c>
      <c r="J766">
        <f>IF(F766=1,1,IF(F766&lt;=3,3,IF(F766&lt;=5,5,IF(F766&lt;=7,7,9))))</f>
      </c>
      <c r="K766">
        <f>IF(F766=1,1,IF(F766&lt;=3,5,IF(F766&lt;=5,7,IF(F766&lt;=7,9,9))))</f>
      </c>
      <c r="L766" s="1">
        <f>IF(D766&gt;0,1/K766,I766)</f>
      </c>
      <c r="M766" s="1">
        <f>IF(D766&gt;0,1/J766,J766)</f>
      </c>
      <c r="N766" s="1">
        <f>IF(D766&gt;0,1/I766,K766)</f>
      </c>
    </row>
    <row r="767">
      <c r="A767">
        <v>9</v>
      </c>
      <c r="B767" t="str">
        <v>CP2</v>
      </c>
      <c r="C767" t="str">
        <v>CP3</v>
      </c>
      <c r="D767">
        <v>-7</v>
      </c>
      <c r="E767">
        <v>7</v>
      </c>
      <c r="F767">
        <f>ABS(D767)+1</f>
      </c>
      <c r="G767" t="str">
        <v>← CP2</v>
      </c>
      <c r="H767" t="str">
        <v>EXTREME</v>
      </c>
      <c r="I767">
        <f>IF(F767=1,1,IF(F767&lt;=3,1,IF(F767&lt;=5,3,IF(F767&lt;=7,5,7))))</f>
      </c>
      <c r="J767">
        <f>IF(F767=1,1,IF(F767&lt;=3,3,IF(F767&lt;=5,5,IF(F767&lt;=7,7,9))))</f>
      </c>
      <c r="K767">
        <f>IF(F767=1,1,IF(F767&lt;=3,5,IF(F767&lt;=5,7,IF(F767&lt;=7,9,9))))</f>
      </c>
      <c r="L767" s="1">
        <f>IF(D767&gt;0,1/K767,I767)</f>
      </c>
      <c r="M767" s="1">
        <f>IF(D767&gt;0,1/J767,J767)</f>
      </c>
      <c r="N767" s="1">
        <f>IF(D767&gt;0,1/I767,K767)</f>
      </c>
    </row>
    <row r="768">
      <c r="A768">
        <v>10</v>
      </c>
      <c r="B768" t="str">
        <v>CP2</v>
      </c>
      <c r="C768" t="str">
        <v>CP4</v>
      </c>
      <c r="D768">
        <v>7</v>
      </c>
      <c r="E768">
        <v>7</v>
      </c>
      <c r="F768">
        <f>ABS(D768)+1</f>
      </c>
      <c r="G768" t="str">
        <v>→ CP4</v>
      </c>
      <c r="H768" t="str">
        <v>EXTREME</v>
      </c>
      <c r="I768">
        <f>IF(F768=1,1,IF(F768&lt;=3,1,IF(F768&lt;=5,3,IF(F768&lt;=7,5,7))))</f>
      </c>
      <c r="J768">
        <f>IF(F768=1,1,IF(F768&lt;=3,3,IF(F768&lt;=5,5,IF(F768&lt;=7,7,9))))</f>
      </c>
      <c r="K768">
        <f>IF(F768=1,1,IF(F768&lt;=3,5,IF(F768&lt;=5,7,IF(F768&lt;=7,9,9))))</f>
      </c>
      <c r="L768" s="1">
        <f>IF(D768&gt;0,1/K768,I768)</f>
      </c>
      <c r="M768" s="1">
        <f>IF(D768&gt;0,1/J768,J768)</f>
      </c>
      <c r="N768" s="1">
        <f>IF(D768&gt;0,1/I768,K768)</f>
      </c>
    </row>
    <row r="769">
      <c r="A769">
        <v>11</v>
      </c>
      <c r="B769" t="str">
        <v>CP2</v>
      </c>
      <c r="C769" t="str">
        <v>CP5</v>
      </c>
      <c r="D769">
        <v>8</v>
      </c>
      <c r="E769">
        <v>8</v>
      </c>
      <c r="F769">
        <f>ABS(D769)+1</f>
      </c>
      <c r="G769" t="str">
        <v>→ CP5</v>
      </c>
      <c r="H769" t="str">
        <v>EXTREME</v>
      </c>
      <c r="I769">
        <f>IF(F769=1,1,IF(F769&lt;=3,1,IF(F769&lt;=5,3,IF(F769&lt;=7,5,7))))</f>
      </c>
      <c r="J769">
        <f>IF(F769=1,1,IF(F769&lt;=3,3,IF(F769&lt;=5,5,IF(F769&lt;=7,7,9))))</f>
      </c>
      <c r="K769">
        <f>IF(F769=1,1,IF(F769&lt;=3,5,IF(F769&lt;=5,7,IF(F769&lt;=7,9,9))))</f>
      </c>
      <c r="L769" s="1">
        <f>IF(D769&gt;0,1/K769,I769)</f>
      </c>
      <c r="M769" s="1">
        <f>IF(D769&gt;0,1/J769,J769)</f>
      </c>
      <c r="N769" s="1">
        <f>IF(D769&gt;0,1/I769,K769)</f>
      </c>
    </row>
    <row r="770">
      <c r="A770">
        <v>12</v>
      </c>
      <c r="B770" t="str">
        <v>CP2</v>
      </c>
      <c r="C770" t="str">
        <v>CP6</v>
      </c>
      <c r="D770">
        <v>-4</v>
      </c>
      <c r="E770">
        <v>4</v>
      </c>
      <c r="F770">
        <f>ABS(D770)+1</f>
      </c>
      <c r="G770" t="str">
        <v>← CP2</v>
      </c>
      <c r="H770" t="str">
        <v>STRONG</v>
      </c>
      <c r="I770">
        <f>IF(F770=1,1,IF(F770&lt;=3,1,IF(F770&lt;=5,3,IF(F770&lt;=7,5,7))))</f>
      </c>
      <c r="J770">
        <f>IF(F770=1,1,IF(F770&lt;=3,3,IF(F770&lt;=5,5,IF(F770&lt;=7,7,9))))</f>
      </c>
      <c r="K770">
        <f>IF(F770=1,1,IF(F770&lt;=3,5,IF(F770&lt;=5,7,IF(F770&lt;=7,9,9))))</f>
      </c>
      <c r="L770" s="1">
        <f>IF(D770&gt;0,1/K770,I770)</f>
      </c>
      <c r="M770" s="1">
        <f>IF(D770&gt;0,1/J770,J770)</f>
      </c>
      <c r="N770" s="1">
        <f>IF(D770&gt;0,1/I770,K770)</f>
      </c>
    </row>
    <row r="771">
      <c r="A771">
        <v>13</v>
      </c>
      <c r="B771" t="str">
        <v>CP2</v>
      </c>
      <c r="C771" t="str">
        <v>CP7</v>
      </c>
      <c r="D771">
        <v>-5</v>
      </c>
      <c r="E771">
        <v>5</v>
      </c>
      <c r="F771">
        <f>ABS(D771)+1</f>
      </c>
      <c r="G771" t="str">
        <v>← CP2</v>
      </c>
      <c r="H771" t="str">
        <v>VERY_STRONG</v>
      </c>
      <c r="I771">
        <f>IF(F771=1,1,IF(F771&lt;=3,1,IF(F771&lt;=5,3,IF(F771&lt;=7,5,7))))</f>
      </c>
      <c r="J771">
        <f>IF(F771=1,1,IF(F771&lt;=3,3,IF(F771&lt;=5,5,IF(F771&lt;=7,7,9))))</f>
      </c>
      <c r="K771">
        <f>IF(F771=1,1,IF(F771&lt;=3,5,IF(F771&lt;=5,7,IF(F771&lt;=7,9,9))))</f>
      </c>
      <c r="L771" s="1">
        <f>IF(D771&gt;0,1/K771,I771)</f>
      </c>
      <c r="M771" s="1">
        <f>IF(D771&gt;0,1/J771,J771)</f>
      </c>
      <c r="N771" s="1">
        <f>IF(D771&gt;0,1/I771,K771)</f>
      </c>
    </row>
    <row r="772">
      <c r="A772">
        <v>14</v>
      </c>
      <c r="B772" t="str">
        <v>CP2</v>
      </c>
      <c r="C772" t="str">
        <v>CP8</v>
      </c>
      <c r="D772">
        <v>-7</v>
      </c>
      <c r="E772">
        <v>7</v>
      </c>
      <c r="F772">
        <f>ABS(D772)+1</f>
      </c>
      <c r="G772" t="str">
        <v>← CP2</v>
      </c>
      <c r="H772" t="str">
        <v>EXTREME</v>
      </c>
      <c r="I772">
        <f>IF(F772=1,1,IF(F772&lt;=3,1,IF(F772&lt;=5,3,IF(F772&lt;=7,5,7))))</f>
      </c>
      <c r="J772">
        <f>IF(F772=1,1,IF(F772&lt;=3,3,IF(F772&lt;=5,5,IF(F772&lt;=7,7,9))))</f>
      </c>
      <c r="K772">
        <f>IF(F772=1,1,IF(F772&lt;=3,5,IF(F772&lt;=5,7,IF(F772&lt;=7,9,9))))</f>
      </c>
      <c r="L772" s="1">
        <f>IF(D772&gt;0,1/K772,I772)</f>
      </c>
      <c r="M772" s="1">
        <f>IF(D772&gt;0,1/J772,J772)</f>
      </c>
      <c r="N772" s="1">
        <f>IF(D772&gt;0,1/I772,K772)</f>
      </c>
    </row>
    <row r="773">
      <c r="A773">
        <v>15</v>
      </c>
      <c r="B773" t="str">
        <v>CP2</v>
      </c>
      <c r="C773" t="str">
        <v>CP9</v>
      </c>
      <c r="D773">
        <v>-8</v>
      </c>
      <c r="E773">
        <v>8</v>
      </c>
      <c r="F773">
        <f>ABS(D773)+1</f>
      </c>
      <c r="G773" t="str">
        <v>← CP2</v>
      </c>
      <c r="H773" t="str">
        <v>EXTREME</v>
      </c>
      <c r="I773">
        <f>IF(F773=1,1,IF(F773&lt;=3,1,IF(F773&lt;=5,3,IF(F773&lt;=7,5,7))))</f>
      </c>
      <c r="J773">
        <f>IF(F773=1,1,IF(F773&lt;=3,3,IF(F773&lt;=5,5,IF(F773&lt;=7,7,9))))</f>
      </c>
      <c r="K773">
        <f>IF(F773=1,1,IF(F773&lt;=3,5,IF(F773&lt;=5,7,IF(F773&lt;=7,9,9))))</f>
      </c>
      <c r="L773" s="1">
        <f>IF(D773&gt;0,1/K773,I773)</f>
      </c>
      <c r="M773" s="1">
        <f>IF(D773&gt;0,1/J773,J773)</f>
      </c>
      <c r="N773" s="1">
        <f>IF(D773&gt;0,1/I773,K773)</f>
      </c>
    </row>
    <row r="774">
      <c r="A774">
        <v>16</v>
      </c>
      <c r="B774" t="str">
        <v>CP3</v>
      </c>
      <c r="C774" t="str">
        <v>CP4</v>
      </c>
      <c r="D774">
        <v>5</v>
      </c>
      <c r="E774">
        <v>5</v>
      </c>
      <c r="F774">
        <f>ABS(D774)+1</f>
      </c>
      <c r="G774" t="str">
        <v>→ CP4</v>
      </c>
      <c r="H774" t="str">
        <v>VERY_STRONG</v>
      </c>
      <c r="I774">
        <f>IF(F774=1,1,IF(F774&lt;=3,1,IF(F774&lt;=5,3,IF(F774&lt;=7,5,7))))</f>
      </c>
      <c r="J774">
        <f>IF(F774=1,1,IF(F774&lt;=3,3,IF(F774&lt;=5,5,IF(F774&lt;=7,7,9))))</f>
      </c>
      <c r="K774">
        <f>IF(F774=1,1,IF(F774&lt;=3,5,IF(F774&lt;=5,7,IF(F774&lt;=7,9,9))))</f>
      </c>
      <c r="L774" s="1">
        <f>IF(D774&gt;0,1/K774,I774)</f>
      </c>
      <c r="M774" s="1">
        <f>IF(D774&gt;0,1/J774,J774)</f>
      </c>
      <c r="N774" s="1">
        <f>IF(D774&gt;0,1/I774,K774)</f>
      </c>
    </row>
    <row r="775">
      <c r="A775">
        <v>17</v>
      </c>
      <c r="B775" t="str">
        <v>CP3</v>
      </c>
      <c r="C775" t="str">
        <v>CP5</v>
      </c>
      <c r="D775">
        <v>8</v>
      </c>
      <c r="E775">
        <v>8</v>
      </c>
      <c r="F775">
        <f>ABS(D775)+1</f>
      </c>
      <c r="G775" t="str">
        <v>→ CP5</v>
      </c>
      <c r="H775" t="str">
        <v>EXTREME</v>
      </c>
      <c r="I775">
        <f>IF(F775=1,1,IF(F775&lt;=3,1,IF(F775&lt;=5,3,IF(F775&lt;=7,5,7))))</f>
      </c>
      <c r="J775">
        <f>IF(F775=1,1,IF(F775&lt;=3,3,IF(F775&lt;=5,5,IF(F775&lt;=7,7,9))))</f>
      </c>
      <c r="K775">
        <f>IF(F775=1,1,IF(F775&lt;=3,5,IF(F775&lt;=5,7,IF(F775&lt;=7,9,9))))</f>
      </c>
      <c r="L775" s="1">
        <f>IF(D775&gt;0,1/K775,I775)</f>
      </c>
      <c r="M775" s="1">
        <f>IF(D775&gt;0,1/J775,J775)</f>
      </c>
      <c r="N775" s="1">
        <f>IF(D775&gt;0,1/I775,K775)</f>
      </c>
    </row>
    <row r="776">
      <c r="A776">
        <v>18</v>
      </c>
      <c r="B776" t="str">
        <v>CP3</v>
      </c>
      <c r="C776" t="str">
        <v>CP6</v>
      </c>
      <c r="D776">
        <v>4</v>
      </c>
      <c r="E776">
        <v>4</v>
      </c>
      <c r="F776">
        <f>ABS(D776)+1</f>
      </c>
      <c r="G776" t="str">
        <v>→ CP6</v>
      </c>
      <c r="H776" t="str">
        <v>STRONG</v>
      </c>
      <c r="I776">
        <f>IF(F776=1,1,IF(F776&lt;=3,1,IF(F776&lt;=5,3,IF(F776&lt;=7,5,7))))</f>
      </c>
      <c r="J776">
        <f>IF(F776=1,1,IF(F776&lt;=3,3,IF(F776&lt;=5,5,IF(F776&lt;=7,7,9))))</f>
      </c>
      <c r="K776">
        <f>IF(F776=1,1,IF(F776&lt;=3,5,IF(F776&lt;=5,7,IF(F776&lt;=7,9,9))))</f>
      </c>
      <c r="L776" s="1">
        <f>IF(D776&gt;0,1/K776,I776)</f>
      </c>
      <c r="M776" s="1">
        <f>IF(D776&gt;0,1/J776,J776)</f>
      </c>
      <c r="N776" s="1">
        <f>IF(D776&gt;0,1/I776,K776)</f>
      </c>
    </row>
    <row r="777">
      <c r="A777">
        <v>19</v>
      </c>
      <c r="B777" t="str">
        <v>CP3</v>
      </c>
      <c r="C777" t="str">
        <v>CP7</v>
      </c>
      <c r="D777">
        <v>5</v>
      </c>
      <c r="E777">
        <v>5</v>
      </c>
      <c r="F777">
        <f>ABS(D777)+1</f>
      </c>
      <c r="G777" t="str">
        <v>→ CP7</v>
      </c>
      <c r="H777" t="str">
        <v>VERY_STRONG</v>
      </c>
      <c r="I777">
        <f>IF(F777=1,1,IF(F777&lt;=3,1,IF(F777&lt;=5,3,IF(F777&lt;=7,5,7))))</f>
      </c>
      <c r="J777">
        <f>IF(F777=1,1,IF(F777&lt;=3,3,IF(F777&lt;=5,5,IF(F777&lt;=7,7,9))))</f>
      </c>
      <c r="K777">
        <f>IF(F777=1,1,IF(F777&lt;=3,5,IF(F777&lt;=5,7,IF(F777&lt;=7,9,9))))</f>
      </c>
      <c r="L777" s="1">
        <f>IF(D777&gt;0,1/K777,I777)</f>
      </c>
      <c r="M777" s="1">
        <f>IF(D777&gt;0,1/J777,J777)</f>
      </c>
      <c r="N777" s="1">
        <f>IF(D777&gt;0,1/I777,K777)</f>
      </c>
    </row>
    <row r="778">
      <c r="A778">
        <v>20</v>
      </c>
      <c r="B778" t="str">
        <v>CP3</v>
      </c>
      <c r="C778" t="str">
        <v>CP8</v>
      </c>
      <c r="D778">
        <v>7</v>
      </c>
      <c r="E778">
        <v>7</v>
      </c>
      <c r="F778">
        <f>ABS(D778)+1</f>
      </c>
      <c r="G778" t="str">
        <v>→ CP8</v>
      </c>
      <c r="H778" t="str">
        <v>EXTREME</v>
      </c>
      <c r="I778">
        <f>IF(F778=1,1,IF(F778&lt;=3,1,IF(F778&lt;=5,3,IF(F778&lt;=7,5,7))))</f>
      </c>
      <c r="J778">
        <f>IF(F778=1,1,IF(F778&lt;=3,3,IF(F778&lt;=5,5,IF(F778&lt;=7,7,9))))</f>
      </c>
      <c r="K778">
        <f>IF(F778=1,1,IF(F778&lt;=3,5,IF(F778&lt;=5,7,IF(F778&lt;=7,9,9))))</f>
      </c>
      <c r="L778" s="1">
        <f>IF(D778&gt;0,1/K778,I778)</f>
      </c>
      <c r="M778" s="1">
        <f>IF(D778&gt;0,1/J778,J778)</f>
      </c>
      <c r="N778" s="1">
        <f>IF(D778&gt;0,1/I778,K778)</f>
      </c>
    </row>
    <row r="779">
      <c r="A779">
        <v>21</v>
      </c>
      <c r="B779" t="str">
        <v>CP3</v>
      </c>
      <c r="C779" t="str">
        <v>CP9</v>
      </c>
      <c r="D779">
        <v>-6</v>
      </c>
      <c r="E779">
        <v>6</v>
      </c>
      <c r="F779">
        <f>ABS(D779)+1</f>
      </c>
      <c r="G779" t="str">
        <v>← CP3</v>
      </c>
      <c r="H779" t="str">
        <v>VERY_STRONG</v>
      </c>
      <c r="I779">
        <f>IF(F779=1,1,IF(F779&lt;=3,1,IF(F779&lt;=5,3,IF(F779&lt;=7,5,7))))</f>
      </c>
      <c r="J779">
        <f>IF(F779=1,1,IF(F779&lt;=3,3,IF(F779&lt;=5,5,IF(F779&lt;=7,7,9))))</f>
      </c>
      <c r="K779">
        <f>IF(F779=1,1,IF(F779&lt;=3,5,IF(F779&lt;=5,7,IF(F779&lt;=7,9,9))))</f>
      </c>
      <c r="L779" s="1">
        <f>IF(D779&gt;0,1/K779,I779)</f>
      </c>
      <c r="M779" s="1">
        <f>IF(D779&gt;0,1/J779,J779)</f>
      </c>
      <c r="N779" s="1">
        <f>IF(D779&gt;0,1/I779,K779)</f>
      </c>
    </row>
    <row r="780">
      <c r="A780">
        <v>22</v>
      </c>
      <c r="B780" t="str">
        <v>CP4</v>
      </c>
      <c r="C780" t="str">
        <v>CP5</v>
      </c>
      <c r="D780">
        <v>6</v>
      </c>
      <c r="E780">
        <v>6</v>
      </c>
      <c r="F780">
        <f>ABS(D780)+1</f>
      </c>
      <c r="G780" t="str">
        <v>→ CP5</v>
      </c>
      <c r="H780" t="str">
        <v>VERY_STRONG</v>
      </c>
      <c r="I780">
        <f>IF(F780=1,1,IF(F780&lt;=3,1,IF(F780&lt;=5,3,IF(F780&lt;=7,5,7))))</f>
      </c>
      <c r="J780">
        <f>IF(F780=1,1,IF(F780&lt;=3,3,IF(F780&lt;=5,5,IF(F780&lt;=7,7,9))))</f>
      </c>
      <c r="K780">
        <f>IF(F780=1,1,IF(F780&lt;=3,5,IF(F780&lt;=5,7,IF(F780&lt;=7,9,9))))</f>
      </c>
      <c r="L780" s="1">
        <f>IF(D780&gt;0,1/K780,I780)</f>
      </c>
      <c r="M780" s="1">
        <f>IF(D780&gt;0,1/J780,J780)</f>
      </c>
      <c r="N780" s="1">
        <f>IF(D780&gt;0,1/I780,K780)</f>
      </c>
    </row>
    <row r="781">
      <c r="A781">
        <v>23</v>
      </c>
      <c r="B781" t="str">
        <v>CP4</v>
      </c>
      <c r="C781" t="str">
        <v>CP6</v>
      </c>
      <c r="D781">
        <v>-5</v>
      </c>
      <c r="E781">
        <v>5</v>
      </c>
      <c r="F781">
        <f>ABS(D781)+1</f>
      </c>
      <c r="G781" t="str">
        <v>← CP4</v>
      </c>
      <c r="H781" t="str">
        <v>VERY_STRONG</v>
      </c>
      <c r="I781">
        <f>IF(F781=1,1,IF(F781&lt;=3,1,IF(F781&lt;=5,3,IF(F781&lt;=7,5,7))))</f>
      </c>
      <c r="J781">
        <f>IF(F781=1,1,IF(F781&lt;=3,3,IF(F781&lt;=5,5,IF(F781&lt;=7,7,9))))</f>
      </c>
      <c r="K781">
        <f>IF(F781=1,1,IF(F781&lt;=3,5,IF(F781&lt;=5,7,IF(F781&lt;=7,9,9))))</f>
      </c>
      <c r="L781" s="1">
        <f>IF(D781&gt;0,1/K781,I781)</f>
      </c>
      <c r="M781" s="1">
        <f>IF(D781&gt;0,1/J781,J781)</f>
      </c>
      <c r="N781" s="1">
        <f>IF(D781&gt;0,1/I781,K781)</f>
      </c>
    </row>
    <row r="782">
      <c r="A782">
        <v>24</v>
      </c>
      <c r="B782" t="str">
        <v>CP4</v>
      </c>
      <c r="C782" t="str">
        <v>CP7</v>
      </c>
      <c r="D782">
        <v>-8</v>
      </c>
      <c r="E782">
        <v>8</v>
      </c>
      <c r="F782">
        <f>ABS(D782)+1</f>
      </c>
      <c r="G782" t="str">
        <v>← CP4</v>
      </c>
      <c r="H782" t="str">
        <v>EXTREME</v>
      </c>
      <c r="I782">
        <f>IF(F782=1,1,IF(F782&lt;=3,1,IF(F782&lt;=5,3,IF(F782&lt;=7,5,7))))</f>
      </c>
      <c r="J782">
        <f>IF(F782=1,1,IF(F782&lt;=3,3,IF(F782&lt;=5,5,IF(F782&lt;=7,7,9))))</f>
      </c>
      <c r="K782">
        <f>IF(F782=1,1,IF(F782&lt;=3,5,IF(F782&lt;=5,7,IF(F782&lt;=7,9,9))))</f>
      </c>
      <c r="L782" s="1">
        <f>IF(D782&gt;0,1/K782,I782)</f>
      </c>
      <c r="M782" s="1">
        <f>IF(D782&gt;0,1/J782,J782)</f>
      </c>
      <c r="N782" s="1">
        <f>IF(D782&gt;0,1/I782,K782)</f>
      </c>
    </row>
    <row r="783">
      <c r="A783">
        <v>25</v>
      </c>
      <c r="B783" t="str">
        <v>CP4</v>
      </c>
      <c r="C783" t="str">
        <v>CP8</v>
      </c>
      <c r="D783">
        <v>-7</v>
      </c>
      <c r="E783">
        <v>7</v>
      </c>
      <c r="F783">
        <f>ABS(D783)+1</f>
      </c>
      <c r="G783" t="str">
        <v>← CP4</v>
      </c>
      <c r="H783" t="str">
        <v>EXTREME</v>
      </c>
      <c r="I783">
        <f>IF(F783=1,1,IF(F783&lt;=3,1,IF(F783&lt;=5,3,IF(F783&lt;=7,5,7))))</f>
      </c>
      <c r="J783">
        <f>IF(F783=1,1,IF(F783&lt;=3,3,IF(F783&lt;=5,5,IF(F783&lt;=7,7,9))))</f>
      </c>
      <c r="K783">
        <f>IF(F783=1,1,IF(F783&lt;=3,5,IF(F783&lt;=5,7,IF(F783&lt;=7,9,9))))</f>
      </c>
      <c r="L783" s="1">
        <f>IF(D783&gt;0,1/K783,I783)</f>
      </c>
      <c r="M783" s="1">
        <f>IF(D783&gt;0,1/J783,J783)</f>
      </c>
      <c r="N783" s="1">
        <f>IF(D783&gt;0,1/I783,K783)</f>
      </c>
    </row>
    <row r="784">
      <c r="A784">
        <v>26</v>
      </c>
      <c r="B784" t="str">
        <v>CP4</v>
      </c>
      <c r="C784" t="str">
        <v>CP9</v>
      </c>
      <c r="D784">
        <v>-6</v>
      </c>
      <c r="E784">
        <v>6</v>
      </c>
      <c r="F784">
        <f>ABS(D784)+1</f>
      </c>
      <c r="G784" t="str">
        <v>← CP4</v>
      </c>
      <c r="H784" t="str">
        <v>VERY_STRONG</v>
      </c>
      <c r="I784">
        <f>IF(F784=1,1,IF(F784&lt;=3,1,IF(F784&lt;=5,3,IF(F784&lt;=7,5,7))))</f>
      </c>
      <c r="J784">
        <f>IF(F784=1,1,IF(F784&lt;=3,3,IF(F784&lt;=5,5,IF(F784&lt;=7,7,9))))</f>
      </c>
      <c r="K784">
        <f>IF(F784=1,1,IF(F784&lt;=3,5,IF(F784&lt;=5,7,IF(F784&lt;=7,9,9))))</f>
      </c>
      <c r="L784" s="1">
        <f>IF(D784&gt;0,1/K784,I784)</f>
      </c>
      <c r="M784" s="1">
        <f>IF(D784&gt;0,1/J784,J784)</f>
      </c>
      <c r="N784" s="1">
        <f>IF(D784&gt;0,1/I784,K784)</f>
      </c>
    </row>
    <row r="785">
      <c r="A785">
        <v>27</v>
      </c>
      <c r="B785" t="str">
        <v>CP5</v>
      </c>
      <c r="C785" t="str">
        <v>CP6</v>
      </c>
      <c r="D785">
        <v>-6</v>
      </c>
      <c r="E785">
        <v>6</v>
      </c>
      <c r="F785">
        <f>ABS(D785)+1</f>
      </c>
      <c r="G785" t="str">
        <v>← CP5</v>
      </c>
      <c r="H785" t="str">
        <v>VERY_STRONG</v>
      </c>
      <c r="I785">
        <f>IF(F785=1,1,IF(F785&lt;=3,1,IF(F785&lt;=5,3,IF(F785&lt;=7,5,7))))</f>
      </c>
      <c r="J785">
        <f>IF(F785=1,1,IF(F785&lt;=3,3,IF(F785&lt;=5,5,IF(F785&lt;=7,7,9))))</f>
      </c>
      <c r="K785">
        <f>IF(F785=1,1,IF(F785&lt;=3,5,IF(F785&lt;=5,7,IF(F785&lt;=7,9,9))))</f>
      </c>
      <c r="L785" s="1">
        <f>IF(D785&gt;0,1/K785,I785)</f>
      </c>
      <c r="M785" s="1">
        <f>IF(D785&gt;0,1/J785,J785)</f>
      </c>
      <c r="N785" s="1">
        <f>IF(D785&gt;0,1/I785,K785)</f>
      </c>
    </row>
    <row r="786">
      <c r="A786">
        <v>28</v>
      </c>
      <c r="B786" t="str">
        <v>CP5</v>
      </c>
      <c r="C786" t="str">
        <v>CP7</v>
      </c>
      <c r="D786">
        <v>-8</v>
      </c>
      <c r="E786">
        <v>8</v>
      </c>
      <c r="F786">
        <f>ABS(D786)+1</f>
      </c>
      <c r="G786" t="str">
        <v>← CP5</v>
      </c>
      <c r="H786" t="str">
        <v>EXTREME</v>
      </c>
      <c r="I786">
        <f>IF(F786=1,1,IF(F786&lt;=3,1,IF(F786&lt;=5,3,IF(F786&lt;=7,5,7))))</f>
      </c>
      <c r="J786">
        <f>IF(F786=1,1,IF(F786&lt;=3,3,IF(F786&lt;=5,5,IF(F786&lt;=7,7,9))))</f>
      </c>
      <c r="K786">
        <f>IF(F786=1,1,IF(F786&lt;=3,5,IF(F786&lt;=5,7,IF(F786&lt;=7,9,9))))</f>
      </c>
      <c r="L786" s="1">
        <f>IF(D786&gt;0,1/K786,I786)</f>
      </c>
      <c r="M786" s="1">
        <f>IF(D786&gt;0,1/J786,J786)</f>
      </c>
      <c r="N786" s="1">
        <f>IF(D786&gt;0,1/I786,K786)</f>
      </c>
    </row>
    <row r="787">
      <c r="A787">
        <v>29</v>
      </c>
      <c r="B787" t="str">
        <v>CP5</v>
      </c>
      <c r="C787" t="str">
        <v>CP8</v>
      </c>
      <c r="D787">
        <v>-8</v>
      </c>
      <c r="E787">
        <v>8</v>
      </c>
      <c r="F787">
        <f>ABS(D787)+1</f>
      </c>
      <c r="G787" t="str">
        <v>← CP5</v>
      </c>
      <c r="H787" t="str">
        <v>EXTREME</v>
      </c>
      <c r="I787">
        <f>IF(F787=1,1,IF(F787&lt;=3,1,IF(F787&lt;=5,3,IF(F787&lt;=7,5,7))))</f>
      </c>
      <c r="J787">
        <f>IF(F787=1,1,IF(F787&lt;=3,3,IF(F787&lt;=5,5,IF(F787&lt;=7,7,9))))</f>
      </c>
      <c r="K787">
        <f>IF(F787=1,1,IF(F787&lt;=3,5,IF(F787&lt;=5,7,IF(F787&lt;=7,9,9))))</f>
      </c>
      <c r="L787" s="1">
        <f>IF(D787&gt;0,1/K787,I787)</f>
      </c>
      <c r="M787" s="1">
        <f>IF(D787&gt;0,1/J787,J787)</f>
      </c>
      <c r="N787" s="1">
        <f>IF(D787&gt;0,1/I787,K787)</f>
      </c>
    </row>
    <row r="788">
      <c r="A788">
        <v>30</v>
      </c>
      <c r="B788" t="str">
        <v>CP5</v>
      </c>
      <c r="C788" t="str">
        <v>CP9</v>
      </c>
      <c r="D788">
        <v>-7</v>
      </c>
      <c r="E788">
        <v>7</v>
      </c>
      <c r="F788">
        <f>ABS(D788)+1</f>
      </c>
      <c r="G788" t="str">
        <v>← CP5</v>
      </c>
      <c r="H788" t="str">
        <v>EXTREME</v>
      </c>
      <c r="I788">
        <f>IF(F788=1,1,IF(F788&lt;=3,1,IF(F788&lt;=5,3,IF(F788&lt;=7,5,7))))</f>
      </c>
      <c r="J788">
        <f>IF(F788=1,1,IF(F788&lt;=3,3,IF(F788&lt;=5,5,IF(F788&lt;=7,7,9))))</f>
      </c>
      <c r="K788">
        <f>IF(F788=1,1,IF(F788&lt;=3,5,IF(F788&lt;=5,7,IF(F788&lt;=7,9,9))))</f>
      </c>
      <c r="L788" s="1">
        <f>IF(D788&gt;0,1/K788,I788)</f>
      </c>
      <c r="M788" s="1">
        <f>IF(D788&gt;0,1/J788,J788)</f>
      </c>
      <c r="N788" s="1">
        <f>IF(D788&gt;0,1/I788,K788)</f>
      </c>
    </row>
    <row r="789">
      <c r="A789">
        <v>31</v>
      </c>
      <c r="B789" t="str">
        <v>CP6</v>
      </c>
      <c r="C789" t="str">
        <v>CP7</v>
      </c>
      <c r="D789">
        <v>6</v>
      </c>
      <c r="E789">
        <v>6</v>
      </c>
      <c r="F789">
        <f>ABS(D789)+1</f>
      </c>
      <c r="G789" t="str">
        <v>→ CP7</v>
      </c>
      <c r="H789" t="str">
        <v>VERY_STRONG</v>
      </c>
      <c r="I789">
        <f>IF(F789=1,1,IF(F789&lt;=3,1,IF(F789&lt;=5,3,IF(F789&lt;=7,5,7))))</f>
      </c>
      <c r="J789">
        <f>IF(F789=1,1,IF(F789&lt;=3,3,IF(F789&lt;=5,5,IF(F789&lt;=7,7,9))))</f>
      </c>
      <c r="K789">
        <f>IF(F789=1,1,IF(F789&lt;=3,5,IF(F789&lt;=5,7,IF(F789&lt;=7,9,9))))</f>
      </c>
      <c r="L789" s="1">
        <f>IF(D789&gt;0,1/K789,I789)</f>
      </c>
      <c r="M789" s="1">
        <f>IF(D789&gt;0,1/J789,J789)</f>
      </c>
      <c r="N789" s="1">
        <f>IF(D789&gt;0,1/I789,K789)</f>
      </c>
    </row>
    <row r="790">
      <c r="A790">
        <v>32</v>
      </c>
      <c r="B790" t="str">
        <v>CP6</v>
      </c>
      <c r="C790" t="str">
        <v>CP8</v>
      </c>
      <c r="D790">
        <v>-6</v>
      </c>
      <c r="E790">
        <v>6</v>
      </c>
      <c r="F790">
        <f>ABS(D790)+1</f>
      </c>
      <c r="G790" t="str">
        <v>← CP6</v>
      </c>
      <c r="H790" t="str">
        <v>VERY_STRONG</v>
      </c>
      <c r="I790">
        <f>IF(F790=1,1,IF(F790&lt;=3,1,IF(F790&lt;=5,3,IF(F790&lt;=7,5,7))))</f>
      </c>
      <c r="J790">
        <f>IF(F790=1,1,IF(F790&lt;=3,3,IF(F790&lt;=5,5,IF(F790&lt;=7,7,9))))</f>
      </c>
      <c r="K790">
        <f>IF(F790=1,1,IF(F790&lt;=3,5,IF(F790&lt;=5,7,IF(F790&lt;=7,9,9))))</f>
      </c>
      <c r="L790" s="1">
        <f>IF(D790&gt;0,1/K790,I790)</f>
      </c>
      <c r="M790" s="1">
        <f>IF(D790&gt;0,1/J790,J790)</f>
      </c>
      <c r="N790" s="1">
        <f>IF(D790&gt;0,1/I790,K790)</f>
      </c>
    </row>
    <row r="791">
      <c r="A791">
        <v>33</v>
      </c>
      <c r="B791" t="str">
        <v>CP6</v>
      </c>
      <c r="C791" t="str">
        <v>CP9</v>
      </c>
      <c r="D791">
        <v>-6</v>
      </c>
      <c r="E791">
        <v>6</v>
      </c>
      <c r="F791">
        <f>ABS(D791)+1</f>
      </c>
      <c r="G791" t="str">
        <v>← CP6</v>
      </c>
      <c r="H791" t="str">
        <v>VERY_STRONG</v>
      </c>
      <c r="I791">
        <f>IF(F791=1,1,IF(F791&lt;=3,1,IF(F791&lt;=5,3,IF(F791&lt;=7,5,7))))</f>
      </c>
      <c r="J791">
        <f>IF(F791=1,1,IF(F791&lt;=3,3,IF(F791&lt;=5,5,IF(F791&lt;=7,7,9))))</f>
      </c>
      <c r="K791">
        <f>IF(F791=1,1,IF(F791&lt;=3,5,IF(F791&lt;=5,7,IF(F791&lt;=7,9,9))))</f>
      </c>
      <c r="L791" s="1">
        <f>IF(D791&gt;0,1/K791,I791)</f>
      </c>
      <c r="M791" s="1">
        <f>IF(D791&gt;0,1/J791,J791)</f>
      </c>
      <c r="N791" s="1">
        <f>IF(D791&gt;0,1/I791,K791)</f>
      </c>
    </row>
    <row r="792">
      <c r="A792">
        <v>34</v>
      </c>
      <c r="B792" t="str">
        <v>CP7</v>
      </c>
      <c r="C792" t="str">
        <v>CP8</v>
      </c>
      <c r="D792">
        <v>-4</v>
      </c>
      <c r="E792">
        <v>4</v>
      </c>
      <c r="F792">
        <f>ABS(D792)+1</f>
      </c>
      <c r="G792" t="str">
        <v>← CP7</v>
      </c>
      <c r="H792" t="str">
        <v>STRONG</v>
      </c>
      <c r="I792">
        <f>IF(F792=1,1,IF(F792&lt;=3,1,IF(F792&lt;=5,3,IF(F792&lt;=7,5,7))))</f>
      </c>
      <c r="J792">
        <f>IF(F792=1,1,IF(F792&lt;=3,3,IF(F792&lt;=5,5,IF(F792&lt;=7,7,9))))</f>
      </c>
      <c r="K792">
        <f>IF(F792=1,1,IF(F792&lt;=3,5,IF(F792&lt;=5,7,IF(F792&lt;=7,9,9))))</f>
      </c>
      <c r="L792" s="1">
        <f>IF(D792&gt;0,1/K792,I792)</f>
      </c>
      <c r="M792" s="1">
        <f>IF(D792&gt;0,1/J792,J792)</f>
      </c>
      <c r="N792" s="1">
        <f>IF(D792&gt;0,1/I792,K792)</f>
      </c>
    </row>
    <row r="793">
      <c r="A793">
        <v>35</v>
      </c>
      <c r="B793" t="str">
        <v>CP7</v>
      </c>
      <c r="C793" t="str">
        <v>CP9</v>
      </c>
      <c r="D793">
        <v>-7</v>
      </c>
      <c r="E793">
        <v>7</v>
      </c>
      <c r="F793">
        <f>ABS(D793)+1</f>
      </c>
      <c r="G793" t="str">
        <v>← CP7</v>
      </c>
      <c r="H793" t="str">
        <v>EXTREME</v>
      </c>
      <c r="I793">
        <f>IF(F793=1,1,IF(F793&lt;=3,1,IF(F793&lt;=5,3,IF(F793&lt;=7,5,7))))</f>
      </c>
      <c r="J793">
        <f>IF(F793=1,1,IF(F793&lt;=3,3,IF(F793&lt;=5,5,IF(F793&lt;=7,7,9))))</f>
      </c>
      <c r="K793">
        <f>IF(F793=1,1,IF(F793&lt;=3,5,IF(F793&lt;=5,7,IF(F793&lt;=7,9,9))))</f>
      </c>
      <c r="L793" s="1">
        <f>IF(D793&gt;0,1/K793,I793)</f>
      </c>
      <c r="M793" s="1">
        <f>IF(D793&gt;0,1/J793,J793)</f>
      </c>
      <c r="N793" s="1">
        <f>IF(D793&gt;0,1/I793,K793)</f>
      </c>
    </row>
    <row r="794">
      <c r="A794">
        <v>36</v>
      </c>
      <c r="B794" t="str">
        <v>CP8</v>
      </c>
      <c r="C794" t="str">
        <v>CP9</v>
      </c>
      <c r="D794">
        <v>-6</v>
      </c>
      <c r="E794">
        <v>6</v>
      </c>
      <c r="F794">
        <f>ABS(D794)+1</f>
      </c>
      <c r="G794" t="str">
        <v>← CP8</v>
      </c>
      <c r="H794" t="str">
        <v>VERY_STRONG</v>
      </c>
      <c r="I794">
        <f>IF(F794=1,1,IF(F794&lt;=3,1,IF(F794&lt;=5,3,IF(F794&lt;=7,5,7))))</f>
      </c>
      <c r="J794">
        <f>IF(F794=1,1,IF(F794&lt;=3,3,IF(F794&lt;=5,5,IF(F794&lt;=7,7,9))))</f>
      </c>
      <c r="K794">
        <f>IF(F794=1,1,IF(F794&lt;=3,5,IF(F794&lt;=5,7,IF(F794&lt;=7,9,9))))</f>
      </c>
      <c r="L794" s="1">
        <f>IF(D794&gt;0,1/K794,I794)</f>
      </c>
      <c r="M794" s="1">
        <f>IF(D794&gt;0,1/J794,J794)</f>
      </c>
      <c r="N794" s="1">
        <f>IF(D794&gt;0,1/I794,K794)</f>
      </c>
    </row>
    <row r="797">
      <c r="A797" t="str">
        <v>═══ RESPONDEN 20: Prof. Dr. Yendraliza ═══</v>
      </c>
    </row>
    <row r="798">
      <c r="A798" t="str">
        <v>Jabatan: Auditor Halal | Instansi: FPP UIN Suska Riau</v>
      </c>
    </row>
    <row r="799">
      <c r="A799" t="str">
        <v>No</v>
      </c>
      <c r="B799" t="str">
        <v>Krit. A</v>
      </c>
      <c r="C799" t="str">
        <v>Krit. B</v>
      </c>
      <c r="D799" t="str">
        <v>Slider</v>
      </c>
      <c r="E799" t="str">
        <v>|Slider|</v>
      </c>
      <c r="F799" t="str">
        <v>absVal</v>
      </c>
      <c r="G799" t="str">
        <v>Arah</v>
      </c>
      <c r="H799" t="str">
        <v>Fuzzy</v>
      </c>
      <c r="I799" t="str">
        <v>l_orig</v>
      </c>
      <c r="J799" t="str">
        <v>m_orig</v>
      </c>
      <c r="K799" t="str">
        <v>u_orig</v>
      </c>
      <c r="L799" t="str">
        <v>TFN_l</v>
      </c>
      <c r="M799" t="str">
        <v>TFN_m</v>
      </c>
      <c r="N799" t="str">
        <v>TFN_u</v>
      </c>
    </row>
    <row r="800">
      <c r="A800">
        <v>1</v>
      </c>
      <c r="B800" t="str">
        <v>CP1</v>
      </c>
      <c r="C800" t="str">
        <v>CP2</v>
      </c>
      <c r="D800">
        <v>5</v>
      </c>
      <c r="E800">
        <v>5</v>
      </c>
      <c r="F800">
        <f>ABS(D800)+1</f>
      </c>
      <c r="G800" t="str">
        <v>→ CP2</v>
      </c>
      <c r="H800" t="str">
        <v>VERY_STRONG</v>
      </c>
      <c r="I800">
        <f>IF(F800=1,1,IF(F800&lt;=3,1,IF(F800&lt;=5,3,IF(F800&lt;=7,5,7))))</f>
      </c>
      <c r="J800">
        <f>IF(F800=1,1,IF(F800&lt;=3,3,IF(F800&lt;=5,5,IF(F800&lt;=7,7,9))))</f>
      </c>
      <c r="K800">
        <f>IF(F800=1,1,IF(F800&lt;=3,5,IF(F800&lt;=5,7,IF(F800&lt;=7,9,9))))</f>
      </c>
      <c r="L800" s="1">
        <f>IF(D800&gt;0,1/K800,I800)</f>
      </c>
      <c r="M800" s="1">
        <f>IF(D800&gt;0,1/J800,J800)</f>
      </c>
      <c r="N800" s="1">
        <f>IF(D800&gt;0,1/I800,K800)</f>
      </c>
    </row>
    <row r="801">
      <c r="A801">
        <v>2</v>
      </c>
      <c r="B801" t="str">
        <v>CP1</v>
      </c>
      <c r="C801" t="str">
        <v>CP3</v>
      </c>
      <c r="D801">
        <v>5</v>
      </c>
      <c r="E801">
        <v>5</v>
      </c>
      <c r="F801">
        <f>ABS(D801)+1</f>
      </c>
      <c r="G801" t="str">
        <v>→ CP3</v>
      </c>
      <c r="H801" t="str">
        <v>VERY_STRONG</v>
      </c>
      <c r="I801">
        <f>IF(F801=1,1,IF(F801&lt;=3,1,IF(F801&lt;=5,3,IF(F801&lt;=7,5,7))))</f>
      </c>
      <c r="J801">
        <f>IF(F801=1,1,IF(F801&lt;=3,3,IF(F801&lt;=5,5,IF(F801&lt;=7,7,9))))</f>
      </c>
      <c r="K801">
        <f>IF(F801=1,1,IF(F801&lt;=3,5,IF(F801&lt;=5,7,IF(F801&lt;=7,9,9))))</f>
      </c>
      <c r="L801" s="1">
        <f>IF(D801&gt;0,1/K801,I801)</f>
      </c>
      <c r="M801" s="1">
        <f>IF(D801&gt;0,1/J801,J801)</f>
      </c>
      <c r="N801" s="1">
        <f>IF(D801&gt;0,1/I801,K801)</f>
      </c>
    </row>
    <row r="802">
      <c r="A802">
        <v>3</v>
      </c>
      <c r="B802" t="str">
        <v>CP1</v>
      </c>
      <c r="C802" t="str">
        <v>CP4</v>
      </c>
      <c r="D802">
        <v>8</v>
      </c>
      <c r="E802">
        <v>8</v>
      </c>
      <c r="F802">
        <f>ABS(D802)+1</f>
      </c>
      <c r="G802" t="str">
        <v>→ CP4</v>
      </c>
      <c r="H802" t="str">
        <v>EXTREME</v>
      </c>
      <c r="I802">
        <f>IF(F802=1,1,IF(F802&lt;=3,1,IF(F802&lt;=5,3,IF(F802&lt;=7,5,7))))</f>
      </c>
      <c r="J802">
        <f>IF(F802=1,1,IF(F802&lt;=3,3,IF(F802&lt;=5,5,IF(F802&lt;=7,7,9))))</f>
      </c>
      <c r="K802">
        <f>IF(F802=1,1,IF(F802&lt;=3,5,IF(F802&lt;=5,7,IF(F802&lt;=7,9,9))))</f>
      </c>
      <c r="L802" s="1">
        <f>IF(D802&gt;0,1/K802,I802)</f>
      </c>
      <c r="M802" s="1">
        <f>IF(D802&gt;0,1/J802,J802)</f>
      </c>
      <c r="N802" s="1">
        <f>IF(D802&gt;0,1/I802,K802)</f>
      </c>
    </row>
    <row r="803">
      <c r="A803">
        <v>4</v>
      </c>
      <c r="B803" t="str">
        <v>CP1</v>
      </c>
      <c r="C803" t="str">
        <v>CP5</v>
      </c>
      <c r="D803">
        <v>7</v>
      </c>
      <c r="E803">
        <v>7</v>
      </c>
      <c r="F803">
        <f>ABS(D803)+1</f>
      </c>
      <c r="G803" t="str">
        <v>→ CP5</v>
      </c>
      <c r="H803" t="str">
        <v>EXTREME</v>
      </c>
      <c r="I803">
        <f>IF(F803=1,1,IF(F803&lt;=3,1,IF(F803&lt;=5,3,IF(F803&lt;=7,5,7))))</f>
      </c>
      <c r="J803">
        <f>IF(F803=1,1,IF(F803&lt;=3,3,IF(F803&lt;=5,5,IF(F803&lt;=7,7,9))))</f>
      </c>
      <c r="K803">
        <f>IF(F803=1,1,IF(F803&lt;=3,5,IF(F803&lt;=5,7,IF(F803&lt;=7,9,9))))</f>
      </c>
      <c r="L803" s="1">
        <f>IF(D803&gt;0,1/K803,I803)</f>
      </c>
      <c r="M803" s="1">
        <f>IF(D803&gt;0,1/J803,J803)</f>
      </c>
      <c r="N803" s="1">
        <f>IF(D803&gt;0,1/I803,K803)</f>
      </c>
    </row>
    <row r="804">
      <c r="A804">
        <v>5</v>
      </c>
      <c r="B804" t="str">
        <v>CP1</v>
      </c>
      <c r="C804" t="str">
        <v>CP6</v>
      </c>
      <c r="D804">
        <v>7</v>
      </c>
      <c r="E804">
        <v>7</v>
      </c>
      <c r="F804">
        <f>ABS(D804)+1</f>
      </c>
      <c r="G804" t="str">
        <v>→ CP6</v>
      </c>
      <c r="H804" t="str">
        <v>EXTREME</v>
      </c>
      <c r="I804">
        <f>IF(F804=1,1,IF(F804&lt;=3,1,IF(F804&lt;=5,3,IF(F804&lt;=7,5,7))))</f>
      </c>
      <c r="J804">
        <f>IF(F804=1,1,IF(F804&lt;=3,3,IF(F804&lt;=5,5,IF(F804&lt;=7,7,9))))</f>
      </c>
      <c r="K804">
        <f>IF(F804=1,1,IF(F804&lt;=3,5,IF(F804&lt;=5,7,IF(F804&lt;=7,9,9))))</f>
      </c>
      <c r="L804" s="1">
        <f>IF(D804&gt;0,1/K804,I804)</f>
      </c>
      <c r="M804" s="1">
        <f>IF(D804&gt;0,1/J804,J804)</f>
      </c>
      <c r="N804" s="1">
        <f>IF(D804&gt;0,1/I804,K804)</f>
      </c>
    </row>
    <row r="805">
      <c r="A805">
        <v>6</v>
      </c>
      <c r="B805" t="str">
        <v>CP1</v>
      </c>
      <c r="C805" t="str">
        <v>CP7</v>
      </c>
      <c r="D805">
        <v>5</v>
      </c>
      <c r="E805">
        <v>5</v>
      </c>
      <c r="F805">
        <f>ABS(D805)+1</f>
      </c>
      <c r="G805" t="str">
        <v>→ CP7</v>
      </c>
      <c r="H805" t="str">
        <v>VERY_STRONG</v>
      </c>
      <c r="I805">
        <f>IF(F805=1,1,IF(F805&lt;=3,1,IF(F805&lt;=5,3,IF(F805&lt;=7,5,7))))</f>
      </c>
      <c r="J805">
        <f>IF(F805=1,1,IF(F805&lt;=3,3,IF(F805&lt;=5,5,IF(F805&lt;=7,7,9))))</f>
      </c>
      <c r="K805">
        <f>IF(F805=1,1,IF(F805&lt;=3,5,IF(F805&lt;=5,7,IF(F805&lt;=7,9,9))))</f>
      </c>
      <c r="L805" s="1">
        <f>IF(D805&gt;0,1/K805,I805)</f>
      </c>
      <c r="M805" s="1">
        <f>IF(D805&gt;0,1/J805,J805)</f>
      </c>
      <c r="N805" s="1">
        <f>IF(D805&gt;0,1/I805,K805)</f>
      </c>
    </row>
    <row r="806">
      <c r="A806">
        <v>7</v>
      </c>
      <c r="B806" t="str">
        <v>CP1</v>
      </c>
      <c r="C806" t="str">
        <v>CP8</v>
      </c>
      <c r="D806">
        <v>-4</v>
      </c>
      <c r="E806">
        <v>4</v>
      </c>
      <c r="F806">
        <f>ABS(D806)+1</f>
      </c>
      <c r="G806" t="str">
        <v>← CP1</v>
      </c>
      <c r="H806" t="str">
        <v>STRONG</v>
      </c>
      <c r="I806">
        <f>IF(F806=1,1,IF(F806&lt;=3,1,IF(F806&lt;=5,3,IF(F806&lt;=7,5,7))))</f>
      </c>
      <c r="J806">
        <f>IF(F806=1,1,IF(F806&lt;=3,3,IF(F806&lt;=5,5,IF(F806&lt;=7,7,9))))</f>
      </c>
      <c r="K806">
        <f>IF(F806=1,1,IF(F806&lt;=3,5,IF(F806&lt;=5,7,IF(F806&lt;=7,9,9))))</f>
      </c>
      <c r="L806" s="1">
        <f>IF(D806&gt;0,1/K806,I806)</f>
      </c>
      <c r="M806" s="1">
        <f>IF(D806&gt;0,1/J806,J806)</f>
      </c>
      <c r="N806" s="1">
        <f>IF(D806&gt;0,1/I806,K806)</f>
      </c>
    </row>
    <row r="807">
      <c r="A807">
        <v>8</v>
      </c>
      <c r="B807" t="str">
        <v>CP1</v>
      </c>
      <c r="C807" t="str">
        <v>CP9</v>
      </c>
      <c r="D807">
        <v>-6</v>
      </c>
      <c r="E807">
        <v>6</v>
      </c>
      <c r="F807">
        <f>ABS(D807)+1</f>
      </c>
      <c r="G807" t="str">
        <v>← CP1</v>
      </c>
      <c r="H807" t="str">
        <v>VERY_STRONG</v>
      </c>
      <c r="I807">
        <f>IF(F807=1,1,IF(F807&lt;=3,1,IF(F807&lt;=5,3,IF(F807&lt;=7,5,7))))</f>
      </c>
      <c r="J807">
        <f>IF(F807=1,1,IF(F807&lt;=3,3,IF(F807&lt;=5,5,IF(F807&lt;=7,7,9))))</f>
      </c>
      <c r="K807">
        <f>IF(F807=1,1,IF(F807&lt;=3,5,IF(F807&lt;=5,7,IF(F807&lt;=7,9,9))))</f>
      </c>
      <c r="L807" s="1">
        <f>IF(D807&gt;0,1/K807,I807)</f>
      </c>
      <c r="M807" s="1">
        <f>IF(D807&gt;0,1/J807,J807)</f>
      </c>
      <c r="N807" s="1">
        <f>IF(D807&gt;0,1/I807,K807)</f>
      </c>
    </row>
    <row r="808">
      <c r="A808">
        <v>9</v>
      </c>
      <c r="B808" t="str">
        <v>CP2</v>
      </c>
      <c r="C808" t="str">
        <v>CP3</v>
      </c>
      <c r="D808">
        <v>-7</v>
      </c>
      <c r="E808">
        <v>7</v>
      </c>
      <c r="F808">
        <f>ABS(D808)+1</f>
      </c>
      <c r="G808" t="str">
        <v>← CP2</v>
      </c>
      <c r="H808" t="str">
        <v>EXTREME</v>
      </c>
      <c r="I808">
        <f>IF(F808=1,1,IF(F808&lt;=3,1,IF(F808&lt;=5,3,IF(F808&lt;=7,5,7))))</f>
      </c>
      <c r="J808">
        <f>IF(F808=1,1,IF(F808&lt;=3,3,IF(F808&lt;=5,5,IF(F808&lt;=7,7,9))))</f>
      </c>
      <c r="K808">
        <f>IF(F808=1,1,IF(F808&lt;=3,5,IF(F808&lt;=5,7,IF(F808&lt;=7,9,9))))</f>
      </c>
      <c r="L808" s="1">
        <f>IF(D808&gt;0,1/K808,I808)</f>
      </c>
      <c r="M808" s="1">
        <f>IF(D808&gt;0,1/J808,J808)</f>
      </c>
      <c r="N808" s="1">
        <f>IF(D808&gt;0,1/I808,K808)</f>
      </c>
    </row>
    <row r="809">
      <c r="A809">
        <v>10</v>
      </c>
      <c r="B809" t="str">
        <v>CP2</v>
      </c>
      <c r="C809" t="str">
        <v>CP4</v>
      </c>
      <c r="D809">
        <v>8</v>
      </c>
      <c r="E809">
        <v>8</v>
      </c>
      <c r="F809">
        <f>ABS(D809)+1</f>
      </c>
      <c r="G809" t="str">
        <v>→ CP4</v>
      </c>
      <c r="H809" t="str">
        <v>EXTREME</v>
      </c>
      <c r="I809">
        <f>IF(F809=1,1,IF(F809&lt;=3,1,IF(F809&lt;=5,3,IF(F809&lt;=7,5,7))))</f>
      </c>
      <c r="J809">
        <f>IF(F809=1,1,IF(F809&lt;=3,3,IF(F809&lt;=5,5,IF(F809&lt;=7,7,9))))</f>
      </c>
      <c r="K809">
        <f>IF(F809=1,1,IF(F809&lt;=3,5,IF(F809&lt;=5,7,IF(F809&lt;=7,9,9))))</f>
      </c>
      <c r="L809" s="1">
        <f>IF(D809&gt;0,1/K809,I809)</f>
      </c>
      <c r="M809" s="1">
        <f>IF(D809&gt;0,1/J809,J809)</f>
      </c>
      <c r="N809" s="1">
        <f>IF(D809&gt;0,1/I809,K809)</f>
      </c>
    </row>
    <row r="810">
      <c r="A810">
        <v>11</v>
      </c>
      <c r="B810" t="str">
        <v>CP2</v>
      </c>
      <c r="C810" t="str">
        <v>CP5</v>
      </c>
      <c r="D810">
        <v>-7</v>
      </c>
      <c r="E810">
        <v>7</v>
      </c>
      <c r="F810">
        <f>ABS(D810)+1</f>
      </c>
      <c r="G810" t="str">
        <v>← CP2</v>
      </c>
      <c r="H810" t="str">
        <v>EXTREME</v>
      </c>
      <c r="I810">
        <f>IF(F810=1,1,IF(F810&lt;=3,1,IF(F810&lt;=5,3,IF(F810&lt;=7,5,7))))</f>
      </c>
      <c r="J810">
        <f>IF(F810=1,1,IF(F810&lt;=3,3,IF(F810&lt;=5,5,IF(F810&lt;=7,7,9))))</f>
      </c>
      <c r="K810">
        <f>IF(F810=1,1,IF(F810&lt;=3,5,IF(F810&lt;=5,7,IF(F810&lt;=7,9,9))))</f>
      </c>
      <c r="L810" s="1">
        <f>IF(D810&gt;0,1/K810,I810)</f>
      </c>
      <c r="M810" s="1">
        <f>IF(D810&gt;0,1/J810,J810)</f>
      </c>
      <c r="N810" s="1">
        <f>IF(D810&gt;0,1/I810,K810)</f>
      </c>
    </row>
    <row r="811">
      <c r="A811">
        <v>12</v>
      </c>
      <c r="B811" t="str">
        <v>CP2</v>
      </c>
      <c r="C811" t="str">
        <v>CP6</v>
      </c>
      <c r="D811">
        <v>-6</v>
      </c>
      <c r="E811">
        <v>6</v>
      </c>
      <c r="F811">
        <f>ABS(D811)+1</f>
      </c>
      <c r="G811" t="str">
        <v>← CP2</v>
      </c>
      <c r="H811" t="str">
        <v>VERY_STRONG</v>
      </c>
      <c r="I811">
        <f>IF(F811=1,1,IF(F811&lt;=3,1,IF(F811&lt;=5,3,IF(F811&lt;=7,5,7))))</f>
      </c>
      <c r="J811">
        <f>IF(F811=1,1,IF(F811&lt;=3,3,IF(F811&lt;=5,5,IF(F811&lt;=7,7,9))))</f>
      </c>
      <c r="K811">
        <f>IF(F811=1,1,IF(F811&lt;=3,5,IF(F811&lt;=5,7,IF(F811&lt;=7,9,9))))</f>
      </c>
      <c r="L811" s="1">
        <f>IF(D811&gt;0,1/K811,I811)</f>
      </c>
      <c r="M811" s="1">
        <f>IF(D811&gt;0,1/J811,J811)</f>
      </c>
      <c r="N811" s="1">
        <f>IF(D811&gt;0,1/I811,K811)</f>
      </c>
    </row>
    <row r="812">
      <c r="A812">
        <v>13</v>
      </c>
      <c r="B812" t="str">
        <v>CP2</v>
      </c>
      <c r="C812" t="str">
        <v>CP7</v>
      </c>
      <c r="D812">
        <v>-7</v>
      </c>
      <c r="E812">
        <v>7</v>
      </c>
      <c r="F812">
        <f>ABS(D812)+1</f>
      </c>
      <c r="G812" t="str">
        <v>← CP2</v>
      </c>
      <c r="H812" t="str">
        <v>EXTREME</v>
      </c>
      <c r="I812">
        <f>IF(F812=1,1,IF(F812&lt;=3,1,IF(F812&lt;=5,3,IF(F812&lt;=7,5,7))))</f>
      </c>
      <c r="J812">
        <f>IF(F812=1,1,IF(F812&lt;=3,3,IF(F812&lt;=5,5,IF(F812&lt;=7,7,9))))</f>
      </c>
      <c r="K812">
        <f>IF(F812=1,1,IF(F812&lt;=3,5,IF(F812&lt;=5,7,IF(F812&lt;=7,9,9))))</f>
      </c>
      <c r="L812" s="1">
        <f>IF(D812&gt;0,1/K812,I812)</f>
      </c>
      <c r="M812" s="1">
        <f>IF(D812&gt;0,1/J812,J812)</f>
      </c>
      <c r="N812" s="1">
        <f>IF(D812&gt;0,1/I812,K812)</f>
      </c>
    </row>
    <row r="813">
      <c r="A813">
        <v>14</v>
      </c>
      <c r="B813" t="str">
        <v>CP2</v>
      </c>
      <c r="C813" t="str">
        <v>CP8</v>
      </c>
      <c r="D813">
        <v>-8</v>
      </c>
      <c r="E813">
        <v>8</v>
      </c>
      <c r="F813">
        <f>ABS(D813)+1</f>
      </c>
      <c r="G813" t="str">
        <v>← CP2</v>
      </c>
      <c r="H813" t="str">
        <v>EXTREME</v>
      </c>
      <c r="I813">
        <f>IF(F813=1,1,IF(F813&lt;=3,1,IF(F813&lt;=5,3,IF(F813&lt;=7,5,7))))</f>
      </c>
      <c r="J813">
        <f>IF(F813=1,1,IF(F813&lt;=3,3,IF(F813&lt;=5,5,IF(F813&lt;=7,7,9))))</f>
      </c>
      <c r="K813">
        <f>IF(F813=1,1,IF(F813&lt;=3,5,IF(F813&lt;=5,7,IF(F813&lt;=7,9,9))))</f>
      </c>
      <c r="L813" s="1">
        <f>IF(D813&gt;0,1/K813,I813)</f>
      </c>
      <c r="M813" s="1">
        <f>IF(D813&gt;0,1/J813,J813)</f>
      </c>
      <c r="N813" s="1">
        <f>IF(D813&gt;0,1/I813,K813)</f>
      </c>
    </row>
    <row r="814">
      <c r="A814">
        <v>15</v>
      </c>
      <c r="B814" t="str">
        <v>CP2</v>
      </c>
      <c r="C814" t="str">
        <v>CP9</v>
      </c>
      <c r="D814">
        <v>-7</v>
      </c>
      <c r="E814">
        <v>7</v>
      </c>
      <c r="F814">
        <f>ABS(D814)+1</f>
      </c>
      <c r="G814" t="str">
        <v>← CP2</v>
      </c>
      <c r="H814" t="str">
        <v>EXTREME</v>
      </c>
      <c r="I814">
        <f>IF(F814=1,1,IF(F814&lt;=3,1,IF(F814&lt;=5,3,IF(F814&lt;=7,5,7))))</f>
      </c>
      <c r="J814">
        <f>IF(F814=1,1,IF(F814&lt;=3,3,IF(F814&lt;=5,5,IF(F814&lt;=7,7,9))))</f>
      </c>
      <c r="K814">
        <f>IF(F814=1,1,IF(F814&lt;=3,5,IF(F814&lt;=5,7,IF(F814&lt;=7,9,9))))</f>
      </c>
      <c r="L814" s="1">
        <f>IF(D814&gt;0,1/K814,I814)</f>
      </c>
      <c r="M814" s="1">
        <f>IF(D814&gt;0,1/J814,J814)</f>
      </c>
      <c r="N814" s="1">
        <f>IF(D814&gt;0,1/I814,K814)</f>
      </c>
    </row>
    <row r="815">
      <c r="A815">
        <v>16</v>
      </c>
      <c r="B815" t="str">
        <v>CP3</v>
      </c>
      <c r="C815" t="str">
        <v>CP4</v>
      </c>
      <c r="D815">
        <v>8</v>
      </c>
      <c r="E815">
        <v>8</v>
      </c>
      <c r="F815">
        <f>ABS(D815)+1</f>
      </c>
      <c r="G815" t="str">
        <v>→ CP4</v>
      </c>
      <c r="H815" t="str">
        <v>EXTREME</v>
      </c>
      <c r="I815">
        <f>IF(F815=1,1,IF(F815&lt;=3,1,IF(F815&lt;=5,3,IF(F815&lt;=7,5,7))))</f>
      </c>
      <c r="J815">
        <f>IF(F815=1,1,IF(F815&lt;=3,3,IF(F815&lt;=5,5,IF(F815&lt;=7,7,9))))</f>
      </c>
      <c r="K815">
        <f>IF(F815=1,1,IF(F815&lt;=3,5,IF(F815&lt;=5,7,IF(F815&lt;=7,9,9))))</f>
      </c>
      <c r="L815" s="1">
        <f>IF(D815&gt;0,1/K815,I815)</f>
      </c>
      <c r="M815" s="1">
        <f>IF(D815&gt;0,1/J815,J815)</f>
      </c>
      <c r="N815" s="1">
        <f>IF(D815&gt;0,1/I815,K815)</f>
      </c>
    </row>
    <row r="816">
      <c r="A816">
        <v>17</v>
      </c>
      <c r="B816" t="str">
        <v>CP3</v>
      </c>
      <c r="C816" t="str">
        <v>CP5</v>
      </c>
      <c r="D816">
        <v>-7</v>
      </c>
      <c r="E816">
        <v>7</v>
      </c>
      <c r="F816">
        <f>ABS(D816)+1</f>
      </c>
      <c r="G816" t="str">
        <v>← CP3</v>
      </c>
      <c r="H816" t="str">
        <v>EXTREME</v>
      </c>
      <c r="I816">
        <f>IF(F816=1,1,IF(F816&lt;=3,1,IF(F816&lt;=5,3,IF(F816&lt;=7,5,7))))</f>
      </c>
      <c r="J816">
        <f>IF(F816=1,1,IF(F816&lt;=3,3,IF(F816&lt;=5,5,IF(F816&lt;=7,7,9))))</f>
      </c>
      <c r="K816">
        <f>IF(F816=1,1,IF(F816&lt;=3,5,IF(F816&lt;=5,7,IF(F816&lt;=7,9,9))))</f>
      </c>
      <c r="L816" s="1">
        <f>IF(D816&gt;0,1/K816,I816)</f>
      </c>
      <c r="M816" s="1">
        <f>IF(D816&gt;0,1/J816,J816)</f>
      </c>
      <c r="N816" s="1">
        <f>IF(D816&gt;0,1/I816,K816)</f>
      </c>
    </row>
    <row r="817">
      <c r="A817">
        <v>18</v>
      </c>
      <c r="B817" t="str">
        <v>CP3</v>
      </c>
      <c r="C817" t="str">
        <v>CP6</v>
      </c>
      <c r="D817">
        <v>-7</v>
      </c>
      <c r="E817">
        <v>7</v>
      </c>
      <c r="F817">
        <f>ABS(D817)+1</f>
      </c>
      <c r="G817" t="str">
        <v>← CP3</v>
      </c>
      <c r="H817" t="str">
        <v>EXTREME</v>
      </c>
      <c r="I817">
        <f>IF(F817=1,1,IF(F817&lt;=3,1,IF(F817&lt;=5,3,IF(F817&lt;=7,5,7))))</f>
      </c>
      <c r="J817">
        <f>IF(F817=1,1,IF(F817&lt;=3,3,IF(F817&lt;=5,5,IF(F817&lt;=7,7,9))))</f>
      </c>
      <c r="K817">
        <f>IF(F817=1,1,IF(F817&lt;=3,5,IF(F817&lt;=5,7,IF(F817&lt;=7,9,9))))</f>
      </c>
      <c r="L817" s="1">
        <f>IF(D817&gt;0,1/K817,I817)</f>
      </c>
      <c r="M817" s="1">
        <f>IF(D817&gt;0,1/J817,J817)</f>
      </c>
      <c r="N817" s="1">
        <f>IF(D817&gt;0,1/I817,K817)</f>
      </c>
    </row>
    <row r="818">
      <c r="A818">
        <v>19</v>
      </c>
      <c r="B818" t="str">
        <v>CP3</v>
      </c>
      <c r="C818" t="str">
        <v>CP7</v>
      </c>
      <c r="D818">
        <v>-5</v>
      </c>
      <c r="E818">
        <v>5</v>
      </c>
      <c r="F818">
        <f>ABS(D818)+1</f>
      </c>
      <c r="G818" t="str">
        <v>← CP3</v>
      </c>
      <c r="H818" t="str">
        <v>VERY_STRONG</v>
      </c>
      <c r="I818">
        <f>IF(F818=1,1,IF(F818&lt;=3,1,IF(F818&lt;=5,3,IF(F818&lt;=7,5,7))))</f>
      </c>
      <c r="J818">
        <f>IF(F818=1,1,IF(F818&lt;=3,3,IF(F818&lt;=5,5,IF(F818&lt;=7,7,9))))</f>
      </c>
      <c r="K818">
        <f>IF(F818=1,1,IF(F818&lt;=3,5,IF(F818&lt;=5,7,IF(F818&lt;=7,9,9))))</f>
      </c>
      <c r="L818" s="1">
        <f>IF(D818&gt;0,1/K818,I818)</f>
      </c>
      <c r="M818" s="1">
        <f>IF(D818&gt;0,1/J818,J818)</f>
      </c>
      <c r="N818" s="1">
        <f>IF(D818&gt;0,1/I818,K818)</f>
      </c>
    </row>
    <row r="819">
      <c r="A819">
        <v>20</v>
      </c>
      <c r="B819" t="str">
        <v>CP3</v>
      </c>
      <c r="C819" t="str">
        <v>CP8</v>
      </c>
      <c r="D819">
        <v>-6</v>
      </c>
      <c r="E819">
        <v>6</v>
      </c>
      <c r="F819">
        <f>ABS(D819)+1</f>
      </c>
      <c r="G819" t="str">
        <v>← CP3</v>
      </c>
      <c r="H819" t="str">
        <v>VERY_STRONG</v>
      </c>
      <c r="I819">
        <f>IF(F819=1,1,IF(F819&lt;=3,1,IF(F819&lt;=5,3,IF(F819&lt;=7,5,7))))</f>
      </c>
      <c r="J819">
        <f>IF(F819=1,1,IF(F819&lt;=3,3,IF(F819&lt;=5,5,IF(F819&lt;=7,7,9))))</f>
      </c>
      <c r="K819">
        <f>IF(F819=1,1,IF(F819&lt;=3,5,IF(F819&lt;=5,7,IF(F819&lt;=7,9,9))))</f>
      </c>
      <c r="L819" s="1">
        <f>IF(D819&gt;0,1/K819,I819)</f>
      </c>
      <c r="M819" s="1">
        <f>IF(D819&gt;0,1/J819,J819)</f>
      </c>
      <c r="N819" s="1">
        <f>IF(D819&gt;0,1/I819,K819)</f>
      </c>
    </row>
    <row r="820">
      <c r="A820">
        <v>21</v>
      </c>
      <c r="B820" t="str">
        <v>CP3</v>
      </c>
      <c r="C820" t="str">
        <v>CP9</v>
      </c>
      <c r="D820">
        <v>-7</v>
      </c>
      <c r="E820">
        <v>7</v>
      </c>
      <c r="F820">
        <f>ABS(D820)+1</f>
      </c>
      <c r="G820" t="str">
        <v>← CP3</v>
      </c>
      <c r="H820" t="str">
        <v>EXTREME</v>
      </c>
      <c r="I820">
        <f>IF(F820=1,1,IF(F820&lt;=3,1,IF(F820&lt;=5,3,IF(F820&lt;=7,5,7))))</f>
      </c>
      <c r="J820">
        <f>IF(F820=1,1,IF(F820&lt;=3,3,IF(F820&lt;=5,5,IF(F820&lt;=7,7,9))))</f>
      </c>
      <c r="K820">
        <f>IF(F820=1,1,IF(F820&lt;=3,5,IF(F820&lt;=5,7,IF(F820&lt;=7,9,9))))</f>
      </c>
      <c r="L820" s="1">
        <f>IF(D820&gt;0,1/K820,I820)</f>
      </c>
      <c r="M820" s="1">
        <f>IF(D820&gt;0,1/J820,J820)</f>
      </c>
      <c r="N820" s="1">
        <f>IF(D820&gt;0,1/I820,K820)</f>
      </c>
    </row>
    <row r="821">
      <c r="A821">
        <v>22</v>
      </c>
      <c r="B821" t="str">
        <v>CP4</v>
      </c>
      <c r="C821" t="str">
        <v>CP5</v>
      </c>
      <c r="D821">
        <v>-8</v>
      </c>
      <c r="E821">
        <v>8</v>
      </c>
      <c r="F821">
        <f>ABS(D821)+1</f>
      </c>
      <c r="G821" t="str">
        <v>← CP4</v>
      </c>
      <c r="H821" t="str">
        <v>EXTREME</v>
      </c>
      <c r="I821">
        <f>IF(F821=1,1,IF(F821&lt;=3,1,IF(F821&lt;=5,3,IF(F821&lt;=7,5,7))))</f>
      </c>
      <c r="J821">
        <f>IF(F821=1,1,IF(F821&lt;=3,3,IF(F821&lt;=5,5,IF(F821&lt;=7,7,9))))</f>
      </c>
      <c r="K821">
        <f>IF(F821=1,1,IF(F821&lt;=3,5,IF(F821&lt;=5,7,IF(F821&lt;=7,9,9))))</f>
      </c>
      <c r="L821" s="1">
        <f>IF(D821&gt;0,1/K821,I821)</f>
      </c>
      <c r="M821" s="1">
        <f>IF(D821&gt;0,1/J821,J821)</f>
      </c>
      <c r="N821" s="1">
        <f>IF(D821&gt;0,1/I821,K821)</f>
      </c>
    </row>
    <row r="822">
      <c r="A822">
        <v>23</v>
      </c>
      <c r="B822" t="str">
        <v>CP4</v>
      </c>
      <c r="C822" t="str">
        <v>CP6</v>
      </c>
      <c r="D822">
        <v>-8</v>
      </c>
      <c r="E822">
        <v>8</v>
      </c>
      <c r="F822">
        <f>ABS(D822)+1</f>
      </c>
      <c r="G822" t="str">
        <v>← CP4</v>
      </c>
      <c r="H822" t="str">
        <v>EXTREME</v>
      </c>
      <c r="I822">
        <f>IF(F822=1,1,IF(F822&lt;=3,1,IF(F822&lt;=5,3,IF(F822&lt;=7,5,7))))</f>
      </c>
      <c r="J822">
        <f>IF(F822=1,1,IF(F822&lt;=3,3,IF(F822&lt;=5,5,IF(F822&lt;=7,7,9))))</f>
      </c>
      <c r="K822">
        <f>IF(F822=1,1,IF(F822&lt;=3,5,IF(F822&lt;=5,7,IF(F822&lt;=7,9,9))))</f>
      </c>
      <c r="L822" s="1">
        <f>IF(D822&gt;0,1/K822,I822)</f>
      </c>
      <c r="M822" s="1">
        <f>IF(D822&gt;0,1/J822,J822)</f>
      </c>
      <c r="N822" s="1">
        <f>IF(D822&gt;0,1/I822,K822)</f>
      </c>
    </row>
    <row r="823">
      <c r="A823">
        <v>24</v>
      </c>
      <c r="B823" t="str">
        <v>CP4</v>
      </c>
      <c r="C823" t="str">
        <v>CP7</v>
      </c>
      <c r="D823">
        <v>-7</v>
      </c>
      <c r="E823">
        <v>7</v>
      </c>
      <c r="F823">
        <f>ABS(D823)+1</f>
      </c>
      <c r="G823" t="str">
        <v>← CP4</v>
      </c>
      <c r="H823" t="str">
        <v>EXTREME</v>
      </c>
      <c r="I823">
        <f>IF(F823=1,1,IF(F823&lt;=3,1,IF(F823&lt;=5,3,IF(F823&lt;=7,5,7))))</f>
      </c>
      <c r="J823">
        <f>IF(F823=1,1,IF(F823&lt;=3,3,IF(F823&lt;=5,5,IF(F823&lt;=7,7,9))))</f>
      </c>
      <c r="K823">
        <f>IF(F823=1,1,IF(F823&lt;=3,5,IF(F823&lt;=5,7,IF(F823&lt;=7,9,9))))</f>
      </c>
      <c r="L823" s="1">
        <f>IF(D823&gt;0,1/K823,I823)</f>
      </c>
      <c r="M823" s="1">
        <f>IF(D823&gt;0,1/J823,J823)</f>
      </c>
      <c r="N823" s="1">
        <f>IF(D823&gt;0,1/I823,K823)</f>
      </c>
    </row>
    <row r="824">
      <c r="A824">
        <v>25</v>
      </c>
      <c r="B824" t="str">
        <v>CP4</v>
      </c>
      <c r="C824" t="str">
        <v>CP8</v>
      </c>
      <c r="D824">
        <v>-8</v>
      </c>
      <c r="E824">
        <v>8</v>
      </c>
      <c r="F824">
        <f>ABS(D824)+1</f>
      </c>
      <c r="G824" t="str">
        <v>← CP4</v>
      </c>
      <c r="H824" t="str">
        <v>EXTREME</v>
      </c>
      <c r="I824">
        <f>IF(F824=1,1,IF(F824&lt;=3,1,IF(F824&lt;=5,3,IF(F824&lt;=7,5,7))))</f>
      </c>
      <c r="J824">
        <f>IF(F824=1,1,IF(F824&lt;=3,3,IF(F824&lt;=5,5,IF(F824&lt;=7,7,9))))</f>
      </c>
      <c r="K824">
        <f>IF(F824=1,1,IF(F824&lt;=3,5,IF(F824&lt;=5,7,IF(F824&lt;=7,9,9))))</f>
      </c>
      <c r="L824" s="1">
        <f>IF(D824&gt;0,1/K824,I824)</f>
      </c>
      <c r="M824" s="1">
        <f>IF(D824&gt;0,1/J824,J824)</f>
      </c>
      <c r="N824" s="1">
        <f>IF(D824&gt;0,1/I824,K824)</f>
      </c>
    </row>
    <row r="825">
      <c r="A825">
        <v>26</v>
      </c>
      <c r="B825" t="str">
        <v>CP4</v>
      </c>
      <c r="C825" t="str">
        <v>CP9</v>
      </c>
      <c r="D825">
        <v>-7</v>
      </c>
      <c r="E825">
        <v>7</v>
      </c>
      <c r="F825">
        <f>ABS(D825)+1</f>
      </c>
      <c r="G825" t="str">
        <v>← CP4</v>
      </c>
      <c r="H825" t="str">
        <v>EXTREME</v>
      </c>
      <c r="I825">
        <f>IF(F825=1,1,IF(F825&lt;=3,1,IF(F825&lt;=5,3,IF(F825&lt;=7,5,7))))</f>
      </c>
      <c r="J825">
        <f>IF(F825=1,1,IF(F825&lt;=3,3,IF(F825&lt;=5,5,IF(F825&lt;=7,7,9))))</f>
      </c>
      <c r="K825">
        <f>IF(F825=1,1,IF(F825&lt;=3,5,IF(F825&lt;=5,7,IF(F825&lt;=7,9,9))))</f>
      </c>
      <c r="L825" s="1">
        <f>IF(D825&gt;0,1/K825,I825)</f>
      </c>
      <c r="M825" s="1">
        <f>IF(D825&gt;0,1/J825,J825)</f>
      </c>
      <c r="N825" s="1">
        <f>IF(D825&gt;0,1/I825,K825)</f>
      </c>
    </row>
    <row r="826">
      <c r="A826">
        <v>27</v>
      </c>
      <c r="B826" t="str">
        <v>CP5</v>
      </c>
      <c r="C826" t="str">
        <v>CP6</v>
      </c>
      <c r="D826">
        <v>-6</v>
      </c>
      <c r="E826">
        <v>6</v>
      </c>
      <c r="F826">
        <f>ABS(D826)+1</f>
      </c>
      <c r="G826" t="str">
        <v>← CP5</v>
      </c>
      <c r="H826" t="str">
        <v>VERY_STRONG</v>
      </c>
      <c r="I826">
        <f>IF(F826=1,1,IF(F826&lt;=3,1,IF(F826&lt;=5,3,IF(F826&lt;=7,5,7))))</f>
      </c>
      <c r="J826">
        <f>IF(F826=1,1,IF(F826&lt;=3,3,IF(F826&lt;=5,5,IF(F826&lt;=7,7,9))))</f>
      </c>
      <c r="K826">
        <f>IF(F826=1,1,IF(F826&lt;=3,5,IF(F826&lt;=5,7,IF(F826&lt;=7,9,9))))</f>
      </c>
      <c r="L826" s="1">
        <f>IF(D826&gt;0,1/K826,I826)</f>
      </c>
      <c r="M826" s="1">
        <f>IF(D826&gt;0,1/J826,J826)</f>
      </c>
      <c r="N826" s="1">
        <f>IF(D826&gt;0,1/I826,K826)</f>
      </c>
    </row>
    <row r="827">
      <c r="A827">
        <v>28</v>
      </c>
      <c r="B827" t="str">
        <v>CP5</v>
      </c>
      <c r="C827" t="str">
        <v>CP7</v>
      </c>
      <c r="D827">
        <v>-6</v>
      </c>
      <c r="E827">
        <v>6</v>
      </c>
      <c r="F827">
        <f>ABS(D827)+1</f>
      </c>
      <c r="G827" t="str">
        <v>← CP5</v>
      </c>
      <c r="H827" t="str">
        <v>VERY_STRONG</v>
      </c>
      <c r="I827">
        <f>IF(F827=1,1,IF(F827&lt;=3,1,IF(F827&lt;=5,3,IF(F827&lt;=7,5,7))))</f>
      </c>
      <c r="J827">
        <f>IF(F827=1,1,IF(F827&lt;=3,3,IF(F827&lt;=5,5,IF(F827&lt;=7,7,9))))</f>
      </c>
      <c r="K827">
        <f>IF(F827=1,1,IF(F827&lt;=3,5,IF(F827&lt;=5,7,IF(F827&lt;=7,9,9))))</f>
      </c>
      <c r="L827" s="1">
        <f>IF(D827&gt;0,1/K827,I827)</f>
      </c>
      <c r="M827" s="1">
        <f>IF(D827&gt;0,1/J827,J827)</f>
      </c>
      <c r="N827" s="1">
        <f>IF(D827&gt;0,1/I827,K827)</f>
      </c>
    </row>
    <row r="828">
      <c r="A828">
        <v>29</v>
      </c>
      <c r="B828" t="str">
        <v>CP5</v>
      </c>
      <c r="C828" t="str">
        <v>CP8</v>
      </c>
      <c r="D828">
        <v>-6</v>
      </c>
      <c r="E828">
        <v>6</v>
      </c>
      <c r="F828">
        <f>ABS(D828)+1</f>
      </c>
      <c r="G828" t="str">
        <v>← CP5</v>
      </c>
      <c r="H828" t="str">
        <v>VERY_STRONG</v>
      </c>
      <c r="I828">
        <f>IF(F828=1,1,IF(F828&lt;=3,1,IF(F828&lt;=5,3,IF(F828&lt;=7,5,7))))</f>
      </c>
      <c r="J828">
        <f>IF(F828=1,1,IF(F828&lt;=3,3,IF(F828&lt;=5,5,IF(F828&lt;=7,7,9))))</f>
      </c>
      <c r="K828">
        <f>IF(F828=1,1,IF(F828&lt;=3,5,IF(F828&lt;=5,7,IF(F828&lt;=7,9,9))))</f>
      </c>
      <c r="L828" s="1">
        <f>IF(D828&gt;0,1/K828,I828)</f>
      </c>
      <c r="M828" s="1">
        <f>IF(D828&gt;0,1/J828,J828)</f>
      </c>
      <c r="N828" s="1">
        <f>IF(D828&gt;0,1/I828,K828)</f>
      </c>
    </row>
    <row r="829">
      <c r="A829">
        <v>30</v>
      </c>
      <c r="B829" t="str">
        <v>CP5</v>
      </c>
      <c r="C829" t="str">
        <v>CP9</v>
      </c>
      <c r="D829">
        <v>-7</v>
      </c>
      <c r="E829">
        <v>7</v>
      </c>
      <c r="F829">
        <f>ABS(D829)+1</f>
      </c>
      <c r="G829" t="str">
        <v>← CP5</v>
      </c>
      <c r="H829" t="str">
        <v>EXTREME</v>
      </c>
      <c r="I829">
        <f>IF(F829=1,1,IF(F829&lt;=3,1,IF(F829&lt;=5,3,IF(F829&lt;=7,5,7))))</f>
      </c>
      <c r="J829">
        <f>IF(F829=1,1,IF(F829&lt;=3,3,IF(F829&lt;=5,5,IF(F829&lt;=7,7,9))))</f>
      </c>
      <c r="K829">
        <f>IF(F829=1,1,IF(F829&lt;=3,5,IF(F829&lt;=5,7,IF(F829&lt;=7,9,9))))</f>
      </c>
      <c r="L829" s="1">
        <f>IF(D829&gt;0,1/K829,I829)</f>
      </c>
      <c r="M829" s="1">
        <f>IF(D829&gt;0,1/J829,J829)</f>
      </c>
      <c r="N829" s="1">
        <f>IF(D829&gt;0,1/I829,K829)</f>
      </c>
    </row>
    <row r="830">
      <c r="A830">
        <v>31</v>
      </c>
      <c r="B830" t="str">
        <v>CP6</v>
      </c>
      <c r="C830" t="str">
        <v>CP7</v>
      </c>
      <c r="D830">
        <v>-4</v>
      </c>
      <c r="E830">
        <v>4</v>
      </c>
      <c r="F830">
        <f>ABS(D830)+1</f>
      </c>
      <c r="G830" t="str">
        <v>← CP6</v>
      </c>
      <c r="H830" t="str">
        <v>STRONG</v>
      </c>
      <c r="I830">
        <f>IF(F830=1,1,IF(F830&lt;=3,1,IF(F830&lt;=5,3,IF(F830&lt;=7,5,7))))</f>
      </c>
      <c r="J830">
        <f>IF(F830=1,1,IF(F830&lt;=3,3,IF(F830&lt;=5,5,IF(F830&lt;=7,7,9))))</f>
      </c>
      <c r="K830">
        <f>IF(F830=1,1,IF(F830&lt;=3,5,IF(F830&lt;=5,7,IF(F830&lt;=7,9,9))))</f>
      </c>
      <c r="L830" s="1">
        <f>IF(D830&gt;0,1/K830,I830)</f>
      </c>
      <c r="M830" s="1">
        <f>IF(D830&gt;0,1/J830,J830)</f>
      </c>
      <c r="N830" s="1">
        <f>IF(D830&gt;0,1/I830,K830)</f>
      </c>
    </row>
    <row r="831">
      <c r="A831">
        <v>32</v>
      </c>
      <c r="B831" t="str">
        <v>CP6</v>
      </c>
      <c r="C831" t="str">
        <v>CP8</v>
      </c>
      <c r="D831">
        <v>-7</v>
      </c>
      <c r="E831">
        <v>7</v>
      </c>
      <c r="F831">
        <f>ABS(D831)+1</f>
      </c>
      <c r="G831" t="str">
        <v>← CP6</v>
      </c>
      <c r="H831" t="str">
        <v>EXTREME</v>
      </c>
      <c r="I831">
        <f>IF(F831=1,1,IF(F831&lt;=3,1,IF(F831&lt;=5,3,IF(F831&lt;=7,5,7))))</f>
      </c>
      <c r="J831">
        <f>IF(F831=1,1,IF(F831&lt;=3,3,IF(F831&lt;=5,5,IF(F831&lt;=7,7,9))))</f>
      </c>
      <c r="K831">
        <f>IF(F831=1,1,IF(F831&lt;=3,5,IF(F831&lt;=5,7,IF(F831&lt;=7,9,9))))</f>
      </c>
      <c r="L831" s="1">
        <f>IF(D831&gt;0,1/K831,I831)</f>
      </c>
      <c r="M831" s="1">
        <f>IF(D831&gt;0,1/J831,J831)</f>
      </c>
      <c r="N831" s="1">
        <f>IF(D831&gt;0,1/I831,K831)</f>
      </c>
    </row>
    <row r="832">
      <c r="A832">
        <v>33</v>
      </c>
      <c r="B832" t="str">
        <v>CP6</v>
      </c>
      <c r="C832" t="str">
        <v>CP9</v>
      </c>
      <c r="D832">
        <v>-6</v>
      </c>
      <c r="E832">
        <v>6</v>
      </c>
      <c r="F832">
        <f>ABS(D832)+1</f>
      </c>
      <c r="G832" t="str">
        <v>← CP6</v>
      </c>
      <c r="H832" t="str">
        <v>VERY_STRONG</v>
      </c>
      <c r="I832">
        <f>IF(F832=1,1,IF(F832&lt;=3,1,IF(F832&lt;=5,3,IF(F832&lt;=7,5,7))))</f>
      </c>
      <c r="J832">
        <f>IF(F832=1,1,IF(F832&lt;=3,3,IF(F832&lt;=5,5,IF(F832&lt;=7,7,9))))</f>
      </c>
      <c r="K832">
        <f>IF(F832=1,1,IF(F832&lt;=3,5,IF(F832&lt;=5,7,IF(F832&lt;=7,9,9))))</f>
      </c>
      <c r="L832" s="1">
        <f>IF(D832&gt;0,1/K832,I832)</f>
      </c>
      <c r="M832" s="1">
        <f>IF(D832&gt;0,1/J832,J832)</f>
      </c>
      <c r="N832" s="1">
        <f>IF(D832&gt;0,1/I832,K832)</f>
      </c>
    </row>
    <row r="833">
      <c r="A833">
        <v>34</v>
      </c>
      <c r="B833" t="str">
        <v>CP7</v>
      </c>
      <c r="C833" t="str">
        <v>CP8</v>
      </c>
      <c r="D833">
        <v>-7</v>
      </c>
      <c r="E833">
        <v>7</v>
      </c>
      <c r="F833">
        <f>ABS(D833)+1</f>
      </c>
      <c r="G833" t="str">
        <v>← CP7</v>
      </c>
      <c r="H833" t="str">
        <v>EXTREME</v>
      </c>
      <c r="I833">
        <f>IF(F833=1,1,IF(F833&lt;=3,1,IF(F833&lt;=5,3,IF(F833&lt;=7,5,7))))</f>
      </c>
      <c r="J833">
        <f>IF(F833=1,1,IF(F833&lt;=3,3,IF(F833&lt;=5,5,IF(F833&lt;=7,7,9))))</f>
      </c>
      <c r="K833">
        <f>IF(F833=1,1,IF(F833&lt;=3,5,IF(F833&lt;=5,7,IF(F833&lt;=7,9,9))))</f>
      </c>
      <c r="L833" s="1">
        <f>IF(D833&gt;0,1/K833,I833)</f>
      </c>
      <c r="M833" s="1">
        <f>IF(D833&gt;0,1/J833,J833)</f>
      </c>
      <c r="N833" s="1">
        <f>IF(D833&gt;0,1/I833,K833)</f>
      </c>
    </row>
    <row r="834">
      <c r="A834">
        <v>35</v>
      </c>
      <c r="B834" t="str">
        <v>CP7</v>
      </c>
      <c r="C834" t="str">
        <v>CP9</v>
      </c>
      <c r="D834">
        <v>-7</v>
      </c>
      <c r="E834">
        <v>7</v>
      </c>
      <c r="F834">
        <f>ABS(D834)+1</f>
      </c>
      <c r="G834" t="str">
        <v>← CP7</v>
      </c>
      <c r="H834" t="str">
        <v>EXTREME</v>
      </c>
      <c r="I834">
        <f>IF(F834=1,1,IF(F834&lt;=3,1,IF(F834&lt;=5,3,IF(F834&lt;=7,5,7))))</f>
      </c>
      <c r="J834">
        <f>IF(F834=1,1,IF(F834&lt;=3,3,IF(F834&lt;=5,5,IF(F834&lt;=7,7,9))))</f>
      </c>
      <c r="K834">
        <f>IF(F834=1,1,IF(F834&lt;=3,5,IF(F834&lt;=5,7,IF(F834&lt;=7,9,9))))</f>
      </c>
      <c r="L834" s="1">
        <f>IF(D834&gt;0,1/K834,I834)</f>
      </c>
      <c r="M834" s="1">
        <f>IF(D834&gt;0,1/J834,J834)</f>
      </c>
      <c r="N834" s="1">
        <f>IF(D834&gt;0,1/I834,K834)</f>
      </c>
    </row>
    <row r="835">
      <c r="A835">
        <v>36</v>
      </c>
      <c r="B835" t="str">
        <v>CP8</v>
      </c>
      <c r="C835" t="str">
        <v>CP9</v>
      </c>
      <c r="D835">
        <v>-6</v>
      </c>
      <c r="E835">
        <v>6</v>
      </c>
      <c r="F835">
        <f>ABS(D835)+1</f>
      </c>
      <c r="G835" t="str">
        <v>← CP8</v>
      </c>
      <c r="H835" t="str">
        <v>VERY_STRONG</v>
      </c>
      <c r="I835">
        <f>IF(F835=1,1,IF(F835&lt;=3,1,IF(F835&lt;=5,3,IF(F835&lt;=7,5,7))))</f>
      </c>
      <c r="J835">
        <f>IF(F835=1,1,IF(F835&lt;=3,3,IF(F835&lt;=5,5,IF(F835&lt;=7,7,9))))</f>
      </c>
      <c r="K835">
        <f>IF(F835=1,1,IF(F835&lt;=3,5,IF(F835&lt;=5,7,IF(F835&lt;=7,9,9))))</f>
      </c>
      <c r="L835" s="1">
        <f>IF(D835&gt;0,1/K835,I835)</f>
      </c>
      <c r="M835" s="1">
        <f>IF(D835&gt;0,1/J835,J835)</f>
      </c>
      <c r="N835" s="1">
        <f>IF(D835&gt;0,1/I835,K835)</f>
      </c>
    </row>
    <row r="838">
      <c r="A838" t="str">
        <v>═══ RESPONDEN 21:  Tengku Nurainun, S.T., M.T., PhD ═══</v>
      </c>
    </row>
    <row r="839">
      <c r="A839" t="str">
        <v>Jabatan: P3H | Instansi:  Teknik Industri FST UIN Suska Riau</v>
      </c>
    </row>
    <row r="840">
      <c r="A840" t="str">
        <v>No</v>
      </c>
      <c r="B840" t="str">
        <v>Krit. A</v>
      </c>
      <c r="C840" t="str">
        <v>Krit. B</v>
      </c>
      <c r="D840" t="str">
        <v>Slider</v>
      </c>
      <c r="E840" t="str">
        <v>|Slider|</v>
      </c>
      <c r="F840" t="str">
        <v>absVal</v>
      </c>
      <c r="G840" t="str">
        <v>Arah</v>
      </c>
      <c r="H840" t="str">
        <v>Fuzzy</v>
      </c>
      <c r="I840" t="str">
        <v>l_orig</v>
      </c>
      <c r="J840" t="str">
        <v>m_orig</v>
      </c>
      <c r="K840" t="str">
        <v>u_orig</v>
      </c>
      <c r="L840" t="str">
        <v>TFN_l</v>
      </c>
      <c r="M840" t="str">
        <v>TFN_m</v>
      </c>
      <c r="N840" t="str">
        <v>TFN_u</v>
      </c>
    </row>
    <row r="841">
      <c r="A841">
        <v>1</v>
      </c>
      <c r="B841" t="str">
        <v>CP1</v>
      </c>
      <c r="C841" t="str">
        <v>CP2</v>
      </c>
      <c r="D841">
        <v>6</v>
      </c>
      <c r="E841">
        <v>6</v>
      </c>
      <c r="F841">
        <f>ABS(D841)+1</f>
      </c>
      <c r="G841" t="str">
        <v>→ CP2</v>
      </c>
      <c r="H841" t="str">
        <v>VERY_STRONG</v>
      </c>
      <c r="I841">
        <f>IF(F841=1,1,IF(F841&lt;=3,1,IF(F841&lt;=5,3,IF(F841&lt;=7,5,7))))</f>
      </c>
      <c r="J841">
        <f>IF(F841=1,1,IF(F841&lt;=3,3,IF(F841&lt;=5,5,IF(F841&lt;=7,7,9))))</f>
      </c>
      <c r="K841">
        <f>IF(F841=1,1,IF(F841&lt;=3,5,IF(F841&lt;=5,7,IF(F841&lt;=7,9,9))))</f>
      </c>
      <c r="L841" s="1">
        <f>IF(D841&gt;0,1/K841,I841)</f>
      </c>
      <c r="M841" s="1">
        <f>IF(D841&gt;0,1/J841,J841)</f>
      </c>
      <c r="N841" s="1">
        <f>IF(D841&gt;0,1/I841,K841)</f>
      </c>
    </row>
    <row r="842">
      <c r="A842">
        <v>2</v>
      </c>
      <c r="B842" t="str">
        <v>CP1</v>
      </c>
      <c r="C842" t="str">
        <v>CP3</v>
      </c>
      <c r="D842">
        <v>-7</v>
      </c>
      <c r="E842">
        <v>7</v>
      </c>
      <c r="F842">
        <f>ABS(D842)+1</f>
      </c>
      <c r="G842" t="str">
        <v>← CP1</v>
      </c>
      <c r="H842" t="str">
        <v>EXTREME</v>
      </c>
      <c r="I842">
        <f>IF(F842=1,1,IF(F842&lt;=3,1,IF(F842&lt;=5,3,IF(F842&lt;=7,5,7))))</f>
      </c>
      <c r="J842">
        <f>IF(F842=1,1,IF(F842&lt;=3,3,IF(F842&lt;=5,5,IF(F842&lt;=7,7,9))))</f>
      </c>
      <c r="K842">
        <f>IF(F842=1,1,IF(F842&lt;=3,5,IF(F842&lt;=5,7,IF(F842&lt;=7,9,9))))</f>
      </c>
      <c r="L842" s="1">
        <f>IF(D842&gt;0,1/K842,I842)</f>
      </c>
      <c r="M842" s="1">
        <f>IF(D842&gt;0,1/J842,J842)</f>
      </c>
      <c r="N842" s="1">
        <f>IF(D842&gt;0,1/I842,K842)</f>
      </c>
    </row>
    <row r="843">
      <c r="A843">
        <v>3</v>
      </c>
      <c r="B843" t="str">
        <v>CP1</v>
      </c>
      <c r="C843" t="str">
        <v>CP4</v>
      </c>
      <c r="D843">
        <v>8</v>
      </c>
      <c r="E843">
        <v>8</v>
      </c>
      <c r="F843">
        <f>ABS(D843)+1</f>
      </c>
      <c r="G843" t="str">
        <v>→ CP4</v>
      </c>
      <c r="H843" t="str">
        <v>EXTREME</v>
      </c>
      <c r="I843">
        <f>IF(F843=1,1,IF(F843&lt;=3,1,IF(F843&lt;=5,3,IF(F843&lt;=7,5,7))))</f>
      </c>
      <c r="J843">
        <f>IF(F843=1,1,IF(F843&lt;=3,3,IF(F843&lt;=5,5,IF(F843&lt;=7,7,9))))</f>
      </c>
      <c r="K843">
        <f>IF(F843=1,1,IF(F843&lt;=3,5,IF(F843&lt;=5,7,IF(F843&lt;=7,9,9))))</f>
      </c>
      <c r="L843" s="1">
        <f>IF(D843&gt;0,1/K843,I843)</f>
      </c>
      <c r="M843" s="1">
        <f>IF(D843&gt;0,1/J843,J843)</f>
      </c>
      <c r="N843" s="1">
        <f>IF(D843&gt;0,1/I843,K843)</f>
      </c>
    </row>
    <row r="844">
      <c r="A844">
        <v>4</v>
      </c>
      <c r="B844" t="str">
        <v>CP1</v>
      </c>
      <c r="C844" t="str">
        <v>CP5</v>
      </c>
      <c r="D844">
        <v>7</v>
      </c>
      <c r="E844">
        <v>7</v>
      </c>
      <c r="F844">
        <f>ABS(D844)+1</f>
      </c>
      <c r="G844" t="str">
        <v>→ CP5</v>
      </c>
      <c r="H844" t="str">
        <v>EXTREME</v>
      </c>
      <c r="I844">
        <f>IF(F844=1,1,IF(F844&lt;=3,1,IF(F844&lt;=5,3,IF(F844&lt;=7,5,7))))</f>
      </c>
      <c r="J844">
        <f>IF(F844=1,1,IF(F844&lt;=3,3,IF(F844&lt;=5,5,IF(F844&lt;=7,7,9))))</f>
      </c>
      <c r="K844">
        <f>IF(F844=1,1,IF(F844&lt;=3,5,IF(F844&lt;=5,7,IF(F844&lt;=7,9,9))))</f>
      </c>
      <c r="L844" s="1">
        <f>IF(D844&gt;0,1/K844,I844)</f>
      </c>
      <c r="M844" s="1">
        <f>IF(D844&gt;0,1/J844,J844)</f>
      </c>
      <c r="N844" s="1">
        <f>IF(D844&gt;0,1/I844,K844)</f>
      </c>
    </row>
    <row r="845">
      <c r="A845">
        <v>5</v>
      </c>
      <c r="B845" t="str">
        <v>CP1</v>
      </c>
      <c r="C845" t="str">
        <v>CP6</v>
      </c>
      <c r="D845">
        <v>7</v>
      </c>
      <c r="E845">
        <v>7</v>
      </c>
      <c r="F845">
        <f>ABS(D845)+1</f>
      </c>
      <c r="G845" t="str">
        <v>→ CP6</v>
      </c>
      <c r="H845" t="str">
        <v>EXTREME</v>
      </c>
      <c r="I845">
        <f>IF(F845=1,1,IF(F845&lt;=3,1,IF(F845&lt;=5,3,IF(F845&lt;=7,5,7))))</f>
      </c>
      <c r="J845">
        <f>IF(F845=1,1,IF(F845&lt;=3,3,IF(F845&lt;=5,5,IF(F845&lt;=7,7,9))))</f>
      </c>
      <c r="K845">
        <f>IF(F845=1,1,IF(F845&lt;=3,5,IF(F845&lt;=5,7,IF(F845&lt;=7,9,9))))</f>
      </c>
      <c r="L845" s="1">
        <f>IF(D845&gt;0,1/K845,I845)</f>
      </c>
      <c r="M845" s="1">
        <f>IF(D845&gt;0,1/J845,J845)</f>
      </c>
      <c r="N845" s="1">
        <f>IF(D845&gt;0,1/I845,K845)</f>
      </c>
    </row>
    <row r="846">
      <c r="A846">
        <v>6</v>
      </c>
      <c r="B846" t="str">
        <v>CP1</v>
      </c>
      <c r="C846" t="str">
        <v>CP7</v>
      </c>
      <c r="D846">
        <v>7</v>
      </c>
      <c r="E846">
        <v>7</v>
      </c>
      <c r="F846">
        <f>ABS(D846)+1</f>
      </c>
      <c r="G846" t="str">
        <v>→ CP7</v>
      </c>
      <c r="H846" t="str">
        <v>EXTREME</v>
      </c>
      <c r="I846">
        <f>IF(F846=1,1,IF(F846&lt;=3,1,IF(F846&lt;=5,3,IF(F846&lt;=7,5,7))))</f>
      </c>
      <c r="J846">
        <f>IF(F846=1,1,IF(F846&lt;=3,3,IF(F846&lt;=5,5,IF(F846&lt;=7,7,9))))</f>
      </c>
      <c r="K846">
        <f>IF(F846=1,1,IF(F846&lt;=3,5,IF(F846&lt;=5,7,IF(F846&lt;=7,9,9))))</f>
      </c>
      <c r="L846" s="1">
        <f>IF(D846&gt;0,1/K846,I846)</f>
      </c>
      <c r="M846" s="1">
        <f>IF(D846&gt;0,1/J846,J846)</f>
      </c>
      <c r="N846" s="1">
        <f>IF(D846&gt;0,1/I846,K846)</f>
      </c>
    </row>
    <row r="847">
      <c r="A847">
        <v>7</v>
      </c>
      <c r="B847" t="str">
        <v>CP1</v>
      </c>
      <c r="C847" t="str">
        <v>CP8</v>
      </c>
      <c r="D847">
        <v>8</v>
      </c>
      <c r="E847">
        <v>8</v>
      </c>
      <c r="F847">
        <f>ABS(D847)+1</f>
      </c>
      <c r="G847" t="str">
        <v>→ CP8</v>
      </c>
      <c r="H847" t="str">
        <v>EXTREME</v>
      </c>
      <c r="I847">
        <f>IF(F847=1,1,IF(F847&lt;=3,1,IF(F847&lt;=5,3,IF(F847&lt;=7,5,7))))</f>
      </c>
      <c r="J847">
        <f>IF(F847=1,1,IF(F847&lt;=3,3,IF(F847&lt;=5,5,IF(F847&lt;=7,7,9))))</f>
      </c>
      <c r="K847">
        <f>IF(F847=1,1,IF(F847&lt;=3,5,IF(F847&lt;=5,7,IF(F847&lt;=7,9,9))))</f>
      </c>
      <c r="L847" s="1">
        <f>IF(D847&gt;0,1/K847,I847)</f>
      </c>
      <c r="M847" s="1">
        <f>IF(D847&gt;0,1/J847,J847)</f>
      </c>
      <c r="N847" s="1">
        <f>IF(D847&gt;0,1/I847,K847)</f>
      </c>
    </row>
    <row r="848">
      <c r="A848">
        <v>8</v>
      </c>
      <c r="B848" t="str">
        <v>CP1</v>
      </c>
      <c r="C848" t="str">
        <v>CP9</v>
      </c>
      <c r="D848">
        <v>7</v>
      </c>
      <c r="E848">
        <v>7</v>
      </c>
      <c r="F848">
        <f>ABS(D848)+1</f>
      </c>
      <c r="G848" t="str">
        <v>→ CP9</v>
      </c>
      <c r="H848" t="str">
        <v>EXTREME</v>
      </c>
      <c r="I848">
        <f>IF(F848=1,1,IF(F848&lt;=3,1,IF(F848&lt;=5,3,IF(F848&lt;=7,5,7))))</f>
      </c>
      <c r="J848">
        <f>IF(F848=1,1,IF(F848&lt;=3,3,IF(F848&lt;=5,5,IF(F848&lt;=7,7,9))))</f>
      </c>
      <c r="K848">
        <f>IF(F848=1,1,IF(F848&lt;=3,5,IF(F848&lt;=5,7,IF(F848&lt;=7,9,9))))</f>
      </c>
      <c r="L848" s="1">
        <f>IF(D848&gt;0,1/K848,I848)</f>
      </c>
      <c r="M848" s="1">
        <f>IF(D848&gt;0,1/J848,J848)</f>
      </c>
      <c r="N848" s="1">
        <f>IF(D848&gt;0,1/I848,K848)</f>
      </c>
    </row>
    <row r="849">
      <c r="A849">
        <v>9</v>
      </c>
      <c r="B849" t="str">
        <v>CP2</v>
      </c>
      <c r="C849" t="str">
        <v>CP3</v>
      </c>
      <c r="D849">
        <v>-7</v>
      </c>
      <c r="E849">
        <v>7</v>
      </c>
      <c r="F849">
        <f>ABS(D849)+1</f>
      </c>
      <c r="G849" t="str">
        <v>← CP2</v>
      </c>
      <c r="H849" t="str">
        <v>EXTREME</v>
      </c>
      <c r="I849">
        <f>IF(F849=1,1,IF(F849&lt;=3,1,IF(F849&lt;=5,3,IF(F849&lt;=7,5,7))))</f>
      </c>
      <c r="J849">
        <f>IF(F849=1,1,IF(F849&lt;=3,3,IF(F849&lt;=5,5,IF(F849&lt;=7,7,9))))</f>
      </c>
      <c r="K849">
        <f>IF(F849=1,1,IF(F849&lt;=3,5,IF(F849&lt;=5,7,IF(F849&lt;=7,9,9))))</f>
      </c>
      <c r="L849" s="1">
        <f>IF(D849&gt;0,1/K849,I849)</f>
      </c>
      <c r="M849" s="1">
        <f>IF(D849&gt;0,1/J849,J849)</f>
      </c>
      <c r="N849" s="1">
        <f>IF(D849&gt;0,1/I849,K849)</f>
      </c>
    </row>
    <row r="850">
      <c r="A850">
        <v>10</v>
      </c>
      <c r="B850" t="str">
        <v>CP2</v>
      </c>
      <c r="C850" t="str">
        <v>CP4</v>
      </c>
      <c r="D850">
        <v>8</v>
      </c>
      <c r="E850">
        <v>8</v>
      </c>
      <c r="F850">
        <f>ABS(D850)+1</f>
      </c>
      <c r="G850" t="str">
        <v>→ CP4</v>
      </c>
      <c r="H850" t="str">
        <v>EXTREME</v>
      </c>
      <c r="I850">
        <f>IF(F850=1,1,IF(F850&lt;=3,1,IF(F850&lt;=5,3,IF(F850&lt;=7,5,7))))</f>
      </c>
      <c r="J850">
        <f>IF(F850=1,1,IF(F850&lt;=3,3,IF(F850&lt;=5,5,IF(F850&lt;=7,7,9))))</f>
      </c>
      <c r="K850">
        <f>IF(F850=1,1,IF(F850&lt;=3,5,IF(F850&lt;=5,7,IF(F850&lt;=7,9,9))))</f>
      </c>
      <c r="L850" s="1">
        <f>IF(D850&gt;0,1/K850,I850)</f>
      </c>
      <c r="M850" s="1">
        <f>IF(D850&gt;0,1/J850,J850)</f>
      </c>
      <c r="N850" s="1">
        <f>IF(D850&gt;0,1/I850,K850)</f>
      </c>
    </row>
    <row r="851">
      <c r="A851">
        <v>11</v>
      </c>
      <c r="B851" t="str">
        <v>CP2</v>
      </c>
      <c r="C851" t="str">
        <v>CP5</v>
      </c>
      <c r="D851">
        <v>-7</v>
      </c>
      <c r="E851">
        <v>7</v>
      </c>
      <c r="F851">
        <f>ABS(D851)+1</f>
      </c>
      <c r="G851" t="str">
        <v>← CP2</v>
      </c>
      <c r="H851" t="str">
        <v>EXTREME</v>
      </c>
      <c r="I851">
        <f>IF(F851=1,1,IF(F851&lt;=3,1,IF(F851&lt;=5,3,IF(F851&lt;=7,5,7))))</f>
      </c>
      <c r="J851">
        <f>IF(F851=1,1,IF(F851&lt;=3,3,IF(F851&lt;=5,5,IF(F851&lt;=7,7,9))))</f>
      </c>
      <c r="K851">
        <f>IF(F851=1,1,IF(F851&lt;=3,5,IF(F851&lt;=5,7,IF(F851&lt;=7,9,9))))</f>
      </c>
      <c r="L851" s="1">
        <f>IF(D851&gt;0,1/K851,I851)</f>
      </c>
      <c r="M851" s="1">
        <f>IF(D851&gt;0,1/J851,J851)</f>
      </c>
      <c r="N851" s="1">
        <f>IF(D851&gt;0,1/I851,K851)</f>
      </c>
    </row>
    <row r="852">
      <c r="A852">
        <v>12</v>
      </c>
      <c r="B852" t="str">
        <v>CP2</v>
      </c>
      <c r="C852" t="str">
        <v>CP6</v>
      </c>
      <c r="D852">
        <v>-7</v>
      </c>
      <c r="E852">
        <v>7</v>
      </c>
      <c r="F852">
        <f>ABS(D852)+1</f>
      </c>
      <c r="G852" t="str">
        <v>← CP2</v>
      </c>
      <c r="H852" t="str">
        <v>EXTREME</v>
      </c>
      <c r="I852">
        <f>IF(F852=1,1,IF(F852&lt;=3,1,IF(F852&lt;=5,3,IF(F852&lt;=7,5,7))))</f>
      </c>
      <c r="J852">
        <f>IF(F852=1,1,IF(F852&lt;=3,3,IF(F852&lt;=5,5,IF(F852&lt;=7,7,9))))</f>
      </c>
      <c r="K852">
        <f>IF(F852=1,1,IF(F852&lt;=3,5,IF(F852&lt;=5,7,IF(F852&lt;=7,9,9))))</f>
      </c>
      <c r="L852" s="1">
        <f>IF(D852&gt;0,1/K852,I852)</f>
      </c>
      <c r="M852" s="1">
        <f>IF(D852&gt;0,1/J852,J852)</f>
      </c>
      <c r="N852" s="1">
        <f>IF(D852&gt;0,1/I852,K852)</f>
      </c>
    </row>
    <row r="853">
      <c r="A853">
        <v>13</v>
      </c>
      <c r="B853" t="str">
        <v>CP2</v>
      </c>
      <c r="C853" t="str">
        <v>CP7</v>
      </c>
      <c r="D853">
        <v>-7</v>
      </c>
      <c r="E853">
        <v>7</v>
      </c>
      <c r="F853">
        <f>ABS(D853)+1</f>
      </c>
      <c r="G853" t="str">
        <v>← CP2</v>
      </c>
      <c r="H853" t="str">
        <v>EXTREME</v>
      </c>
      <c r="I853">
        <f>IF(F853=1,1,IF(F853&lt;=3,1,IF(F853&lt;=5,3,IF(F853&lt;=7,5,7))))</f>
      </c>
      <c r="J853">
        <f>IF(F853=1,1,IF(F853&lt;=3,3,IF(F853&lt;=5,5,IF(F853&lt;=7,7,9))))</f>
      </c>
      <c r="K853">
        <f>IF(F853=1,1,IF(F853&lt;=3,5,IF(F853&lt;=5,7,IF(F853&lt;=7,9,9))))</f>
      </c>
      <c r="L853" s="1">
        <f>IF(D853&gt;0,1/K853,I853)</f>
      </c>
      <c r="M853" s="1">
        <f>IF(D853&gt;0,1/J853,J853)</f>
      </c>
      <c r="N853" s="1">
        <f>IF(D853&gt;0,1/I853,K853)</f>
      </c>
    </row>
    <row r="854">
      <c r="A854">
        <v>14</v>
      </c>
      <c r="B854" t="str">
        <v>CP2</v>
      </c>
      <c r="C854" t="str">
        <v>CP8</v>
      </c>
      <c r="D854">
        <v>-7</v>
      </c>
      <c r="E854">
        <v>7</v>
      </c>
      <c r="F854">
        <f>ABS(D854)+1</f>
      </c>
      <c r="G854" t="str">
        <v>← CP2</v>
      </c>
      <c r="H854" t="str">
        <v>EXTREME</v>
      </c>
      <c r="I854">
        <f>IF(F854=1,1,IF(F854&lt;=3,1,IF(F854&lt;=5,3,IF(F854&lt;=7,5,7))))</f>
      </c>
      <c r="J854">
        <f>IF(F854=1,1,IF(F854&lt;=3,3,IF(F854&lt;=5,5,IF(F854&lt;=7,7,9))))</f>
      </c>
      <c r="K854">
        <f>IF(F854=1,1,IF(F854&lt;=3,5,IF(F854&lt;=5,7,IF(F854&lt;=7,9,9))))</f>
      </c>
      <c r="L854" s="1">
        <f>IF(D854&gt;0,1/K854,I854)</f>
      </c>
      <c r="M854" s="1">
        <f>IF(D854&gt;0,1/J854,J854)</f>
      </c>
      <c r="N854" s="1">
        <f>IF(D854&gt;0,1/I854,K854)</f>
      </c>
    </row>
    <row r="855">
      <c r="A855">
        <v>15</v>
      </c>
      <c r="B855" t="str">
        <v>CP2</v>
      </c>
      <c r="C855" t="str">
        <v>CP9</v>
      </c>
      <c r="D855">
        <v>-7</v>
      </c>
      <c r="E855">
        <v>7</v>
      </c>
      <c r="F855">
        <f>ABS(D855)+1</f>
      </c>
      <c r="G855" t="str">
        <v>← CP2</v>
      </c>
      <c r="H855" t="str">
        <v>EXTREME</v>
      </c>
      <c r="I855">
        <f>IF(F855=1,1,IF(F855&lt;=3,1,IF(F855&lt;=5,3,IF(F855&lt;=7,5,7))))</f>
      </c>
      <c r="J855">
        <f>IF(F855=1,1,IF(F855&lt;=3,3,IF(F855&lt;=5,5,IF(F855&lt;=7,7,9))))</f>
      </c>
      <c r="K855">
        <f>IF(F855=1,1,IF(F855&lt;=3,5,IF(F855&lt;=5,7,IF(F855&lt;=7,9,9))))</f>
      </c>
      <c r="L855" s="1">
        <f>IF(D855&gt;0,1/K855,I855)</f>
      </c>
      <c r="M855" s="1">
        <f>IF(D855&gt;0,1/J855,J855)</f>
      </c>
      <c r="N855" s="1">
        <f>IF(D855&gt;0,1/I855,K855)</f>
      </c>
    </row>
    <row r="856">
      <c r="A856">
        <v>16</v>
      </c>
      <c r="B856" t="str">
        <v>CP3</v>
      </c>
      <c r="C856" t="str">
        <v>CP4</v>
      </c>
      <c r="D856">
        <v>8</v>
      </c>
      <c r="E856">
        <v>8</v>
      </c>
      <c r="F856">
        <f>ABS(D856)+1</f>
      </c>
      <c r="G856" t="str">
        <v>→ CP4</v>
      </c>
      <c r="H856" t="str">
        <v>EXTREME</v>
      </c>
      <c r="I856">
        <f>IF(F856=1,1,IF(F856&lt;=3,1,IF(F856&lt;=5,3,IF(F856&lt;=7,5,7))))</f>
      </c>
      <c r="J856">
        <f>IF(F856=1,1,IF(F856&lt;=3,3,IF(F856&lt;=5,5,IF(F856&lt;=7,7,9))))</f>
      </c>
      <c r="K856">
        <f>IF(F856=1,1,IF(F856&lt;=3,5,IF(F856&lt;=5,7,IF(F856&lt;=7,9,9))))</f>
      </c>
      <c r="L856" s="1">
        <f>IF(D856&gt;0,1/K856,I856)</f>
      </c>
      <c r="M856" s="1">
        <f>IF(D856&gt;0,1/J856,J856)</f>
      </c>
      <c r="N856" s="1">
        <f>IF(D856&gt;0,1/I856,K856)</f>
      </c>
    </row>
    <row r="857">
      <c r="A857">
        <v>17</v>
      </c>
      <c r="B857" t="str">
        <v>CP3</v>
      </c>
      <c r="C857" t="str">
        <v>CP5</v>
      </c>
      <c r="D857">
        <v>7</v>
      </c>
      <c r="E857">
        <v>7</v>
      </c>
      <c r="F857">
        <f>ABS(D857)+1</f>
      </c>
      <c r="G857" t="str">
        <v>→ CP5</v>
      </c>
      <c r="H857" t="str">
        <v>EXTREME</v>
      </c>
      <c r="I857">
        <f>IF(F857=1,1,IF(F857&lt;=3,1,IF(F857&lt;=5,3,IF(F857&lt;=7,5,7))))</f>
      </c>
      <c r="J857">
        <f>IF(F857=1,1,IF(F857&lt;=3,3,IF(F857&lt;=5,5,IF(F857&lt;=7,7,9))))</f>
      </c>
      <c r="K857">
        <f>IF(F857=1,1,IF(F857&lt;=3,5,IF(F857&lt;=5,7,IF(F857&lt;=7,9,9))))</f>
      </c>
      <c r="L857" s="1">
        <f>IF(D857&gt;0,1/K857,I857)</f>
      </c>
      <c r="M857" s="1">
        <f>IF(D857&gt;0,1/J857,J857)</f>
      </c>
      <c r="N857" s="1">
        <f>IF(D857&gt;0,1/I857,K857)</f>
      </c>
    </row>
    <row r="858">
      <c r="A858">
        <v>18</v>
      </c>
      <c r="B858" t="str">
        <v>CP3</v>
      </c>
      <c r="C858" t="str">
        <v>CP6</v>
      </c>
      <c r="D858">
        <v>7</v>
      </c>
      <c r="E858">
        <v>7</v>
      </c>
      <c r="F858">
        <f>ABS(D858)+1</f>
      </c>
      <c r="G858" t="str">
        <v>→ CP6</v>
      </c>
      <c r="H858" t="str">
        <v>EXTREME</v>
      </c>
      <c r="I858">
        <f>IF(F858=1,1,IF(F858&lt;=3,1,IF(F858&lt;=5,3,IF(F858&lt;=7,5,7))))</f>
      </c>
      <c r="J858">
        <f>IF(F858=1,1,IF(F858&lt;=3,3,IF(F858&lt;=5,5,IF(F858&lt;=7,7,9))))</f>
      </c>
      <c r="K858">
        <f>IF(F858=1,1,IF(F858&lt;=3,5,IF(F858&lt;=5,7,IF(F858&lt;=7,9,9))))</f>
      </c>
      <c r="L858" s="1">
        <f>IF(D858&gt;0,1/K858,I858)</f>
      </c>
      <c r="M858" s="1">
        <f>IF(D858&gt;0,1/J858,J858)</f>
      </c>
      <c r="N858" s="1">
        <f>IF(D858&gt;0,1/I858,K858)</f>
      </c>
    </row>
    <row r="859">
      <c r="A859">
        <v>19</v>
      </c>
      <c r="B859" t="str">
        <v>CP3</v>
      </c>
      <c r="C859" t="str">
        <v>CP7</v>
      </c>
      <c r="D859">
        <v>6</v>
      </c>
      <c r="E859">
        <v>6</v>
      </c>
      <c r="F859">
        <f>ABS(D859)+1</f>
      </c>
      <c r="G859" t="str">
        <v>→ CP7</v>
      </c>
      <c r="H859" t="str">
        <v>VERY_STRONG</v>
      </c>
      <c r="I859">
        <f>IF(F859=1,1,IF(F859&lt;=3,1,IF(F859&lt;=5,3,IF(F859&lt;=7,5,7))))</f>
      </c>
      <c r="J859">
        <f>IF(F859=1,1,IF(F859&lt;=3,3,IF(F859&lt;=5,5,IF(F859&lt;=7,7,9))))</f>
      </c>
      <c r="K859">
        <f>IF(F859=1,1,IF(F859&lt;=3,5,IF(F859&lt;=5,7,IF(F859&lt;=7,9,9))))</f>
      </c>
      <c r="L859" s="1">
        <f>IF(D859&gt;0,1/K859,I859)</f>
      </c>
      <c r="M859" s="1">
        <f>IF(D859&gt;0,1/J859,J859)</f>
      </c>
      <c r="N859" s="1">
        <f>IF(D859&gt;0,1/I859,K859)</f>
      </c>
    </row>
    <row r="860">
      <c r="A860">
        <v>20</v>
      </c>
      <c r="B860" t="str">
        <v>CP3</v>
      </c>
      <c r="C860" t="str">
        <v>CP8</v>
      </c>
      <c r="D860">
        <v>6</v>
      </c>
      <c r="E860">
        <v>6</v>
      </c>
      <c r="F860">
        <f>ABS(D860)+1</f>
      </c>
      <c r="G860" t="str">
        <v>→ CP8</v>
      </c>
      <c r="H860" t="str">
        <v>VERY_STRONG</v>
      </c>
      <c r="I860">
        <f>IF(F860=1,1,IF(F860&lt;=3,1,IF(F860&lt;=5,3,IF(F860&lt;=7,5,7))))</f>
      </c>
      <c r="J860">
        <f>IF(F860=1,1,IF(F860&lt;=3,3,IF(F860&lt;=5,5,IF(F860&lt;=7,7,9))))</f>
      </c>
      <c r="K860">
        <f>IF(F860=1,1,IF(F860&lt;=3,5,IF(F860&lt;=5,7,IF(F860&lt;=7,9,9))))</f>
      </c>
      <c r="L860" s="1">
        <f>IF(D860&gt;0,1/K860,I860)</f>
      </c>
      <c r="M860" s="1">
        <f>IF(D860&gt;0,1/J860,J860)</f>
      </c>
      <c r="N860" s="1">
        <f>IF(D860&gt;0,1/I860,K860)</f>
      </c>
    </row>
    <row r="861">
      <c r="A861">
        <v>21</v>
      </c>
      <c r="B861" t="str">
        <v>CP3</v>
      </c>
      <c r="C861" t="str">
        <v>CP9</v>
      </c>
      <c r="D861">
        <v>7</v>
      </c>
      <c r="E861">
        <v>7</v>
      </c>
      <c r="F861">
        <f>ABS(D861)+1</f>
      </c>
      <c r="G861" t="str">
        <v>→ CP9</v>
      </c>
      <c r="H861" t="str">
        <v>EXTREME</v>
      </c>
      <c r="I861">
        <f>IF(F861=1,1,IF(F861&lt;=3,1,IF(F861&lt;=5,3,IF(F861&lt;=7,5,7))))</f>
      </c>
      <c r="J861">
        <f>IF(F861=1,1,IF(F861&lt;=3,3,IF(F861&lt;=5,5,IF(F861&lt;=7,7,9))))</f>
      </c>
      <c r="K861">
        <f>IF(F861=1,1,IF(F861&lt;=3,5,IF(F861&lt;=5,7,IF(F861&lt;=7,9,9))))</f>
      </c>
      <c r="L861" s="1">
        <f>IF(D861&gt;0,1/K861,I861)</f>
      </c>
      <c r="M861" s="1">
        <f>IF(D861&gt;0,1/J861,J861)</f>
      </c>
      <c r="N861" s="1">
        <f>IF(D861&gt;0,1/I861,K861)</f>
      </c>
    </row>
    <row r="862">
      <c r="A862">
        <v>22</v>
      </c>
      <c r="B862" t="str">
        <v>CP4</v>
      </c>
      <c r="C862" t="str">
        <v>CP5</v>
      </c>
      <c r="D862">
        <v>-8</v>
      </c>
      <c r="E862">
        <v>8</v>
      </c>
      <c r="F862">
        <f>ABS(D862)+1</f>
      </c>
      <c r="G862" t="str">
        <v>← CP4</v>
      </c>
      <c r="H862" t="str">
        <v>EXTREME</v>
      </c>
      <c r="I862">
        <f>IF(F862=1,1,IF(F862&lt;=3,1,IF(F862&lt;=5,3,IF(F862&lt;=7,5,7))))</f>
      </c>
      <c r="J862">
        <f>IF(F862=1,1,IF(F862&lt;=3,3,IF(F862&lt;=5,5,IF(F862&lt;=7,7,9))))</f>
      </c>
      <c r="K862">
        <f>IF(F862=1,1,IF(F862&lt;=3,5,IF(F862&lt;=5,7,IF(F862&lt;=7,9,9))))</f>
      </c>
      <c r="L862" s="1">
        <f>IF(D862&gt;0,1/K862,I862)</f>
      </c>
      <c r="M862" s="1">
        <f>IF(D862&gt;0,1/J862,J862)</f>
      </c>
      <c r="N862" s="1">
        <f>IF(D862&gt;0,1/I862,K862)</f>
      </c>
    </row>
    <row r="863">
      <c r="A863">
        <v>23</v>
      </c>
      <c r="B863" t="str">
        <v>CP4</v>
      </c>
      <c r="C863" t="str">
        <v>CP6</v>
      </c>
      <c r="D863">
        <v>-8</v>
      </c>
      <c r="E863">
        <v>8</v>
      </c>
      <c r="F863">
        <f>ABS(D863)+1</f>
      </c>
      <c r="G863" t="str">
        <v>← CP4</v>
      </c>
      <c r="H863" t="str">
        <v>EXTREME</v>
      </c>
      <c r="I863">
        <f>IF(F863=1,1,IF(F863&lt;=3,1,IF(F863&lt;=5,3,IF(F863&lt;=7,5,7))))</f>
      </c>
      <c r="J863">
        <f>IF(F863=1,1,IF(F863&lt;=3,3,IF(F863&lt;=5,5,IF(F863&lt;=7,7,9))))</f>
      </c>
      <c r="K863">
        <f>IF(F863=1,1,IF(F863&lt;=3,5,IF(F863&lt;=5,7,IF(F863&lt;=7,9,9))))</f>
      </c>
      <c r="L863" s="1">
        <f>IF(D863&gt;0,1/K863,I863)</f>
      </c>
      <c r="M863" s="1">
        <f>IF(D863&gt;0,1/J863,J863)</f>
      </c>
      <c r="N863" s="1">
        <f>IF(D863&gt;0,1/I863,K863)</f>
      </c>
    </row>
    <row r="864">
      <c r="A864">
        <v>24</v>
      </c>
      <c r="B864" t="str">
        <v>CP4</v>
      </c>
      <c r="C864" t="str">
        <v>CP7</v>
      </c>
      <c r="D864">
        <v>-8</v>
      </c>
      <c r="E864">
        <v>8</v>
      </c>
      <c r="F864">
        <f>ABS(D864)+1</f>
      </c>
      <c r="G864" t="str">
        <v>← CP4</v>
      </c>
      <c r="H864" t="str">
        <v>EXTREME</v>
      </c>
      <c r="I864">
        <f>IF(F864=1,1,IF(F864&lt;=3,1,IF(F864&lt;=5,3,IF(F864&lt;=7,5,7))))</f>
      </c>
      <c r="J864">
        <f>IF(F864=1,1,IF(F864&lt;=3,3,IF(F864&lt;=5,5,IF(F864&lt;=7,7,9))))</f>
      </c>
      <c r="K864">
        <f>IF(F864=1,1,IF(F864&lt;=3,5,IF(F864&lt;=5,7,IF(F864&lt;=7,9,9))))</f>
      </c>
      <c r="L864" s="1">
        <f>IF(D864&gt;0,1/K864,I864)</f>
      </c>
      <c r="M864" s="1">
        <f>IF(D864&gt;0,1/J864,J864)</f>
      </c>
      <c r="N864" s="1">
        <f>IF(D864&gt;0,1/I864,K864)</f>
      </c>
    </row>
    <row r="865">
      <c r="A865">
        <v>25</v>
      </c>
      <c r="B865" t="str">
        <v>CP4</v>
      </c>
      <c r="C865" t="str">
        <v>CP8</v>
      </c>
      <c r="D865">
        <v>-7</v>
      </c>
      <c r="E865">
        <v>7</v>
      </c>
      <c r="F865">
        <f>ABS(D865)+1</f>
      </c>
      <c r="G865" t="str">
        <v>← CP4</v>
      </c>
      <c r="H865" t="str">
        <v>EXTREME</v>
      </c>
      <c r="I865">
        <f>IF(F865=1,1,IF(F865&lt;=3,1,IF(F865&lt;=5,3,IF(F865&lt;=7,5,7))))</f>
      </c>
      <c r="J865">
        <f>IF(F865=1,1,IF(F865&lt;=3,3,IF(F865&lt;=5,5,IF(F865&lt;=7,7,9))))</f>
      </c>
      <c r="K865">
        <f>IF(F865=1,1,IF(F865&lt;=3,5,IF(F865&lt;=5,7,IF(F865&lt;=7,9,9))))</f>
      </c>
      <c r="L865" s="1">
        <f>IF(D865&gt;0,1/K865,I865)</f>
      </c>
      <c r="M865" s="1">
        <f>IF(D865&gt;0,1/J865,J865)</f>
      </c>
      <c r="N865" s="1">
        <f>IF(D865&gt;0,1/I865,K865)</f>
      </c>
    </row>
    <row r="866">
      <c r="A866">
        <v>26</v>
      </c>
      <c r="B866" t="str">
        <v>CP4</v>
      </c>
      <c r="C866" t="str">
        <v>CP9</v>
      </c>
      <c r="D866">
        <v>-8</v>
      </c>
      <c r="E866">
        <v>8</v>
      </c>
      <c r="F866">
        <f>ABS(D866)+1</f>
      </c>
      <c r="G866" t="str">
        <v>← CP4</v>
      </c>
      <c r="H866" t="str">
        <v>EXTREME</v>
      </c>
      <c r="I866">
        <f>IF(F866=1,1,IF(F866&lt;=3,1,IF(F866&lt;=5,3,IF(F866&lt;=7,5,7))))</f>
      </c>
      <c r="J866">
        <f>IF(F866=1,1,IF(F866&lt;=3,3,IF(F866&lt;=5,5,IF(F866&lt;=7,7,9))))</f>
      </c>
      <c r="K866">
        <f>IF(F866=1,1,IF(F866&lt;=3,5,IF(F866&lt;=5,7,IF(F866&lt;=7,9,9))))</f>
      </c>
      <c r="L866" s="1">
        <f>IF(D866&gt;0,1/K866,I866)</f>
      </c>
      <c r="M866" s="1">
        <f>IF(D866&gt;0,1/J866,J866)</f>
      </c>
      <c r="N866" s="1">
        <f>IF(D866&gt;0,1/I866,K866)</f>
      </c>
    </row>
    <row r="867">
      <c r="A867">
        <v>27</v>
      </c>
      <c r="B867" t="str">
        <v>CP5</v>
      </c>
      <c r="C867" t="str">
        <v>CP6</v>
      </c>
      <c r="D867">
        <v>-6</v>
      </c>
      <c r="E867">
        <v>6</v>
      </c>
      <c r="F867">
        <f>ABS(D867)+1</f>
      </c>
      <c r="G867" t="str">
        <v>← CP5</v>
      </c>
      <c r="H867" t="str">
        <v>VERY_STRONG</v>
      </c>
      <c r="I867">
        <f>IF(F867=1,1,IF(F867&lt;=3,1,IF(F867&lt;=5,3,IF(F867&lt;=7,5,7))))</f>
      </c>
      <c r="J867">
        <f>IF(F867=1,1,IF(F867&lt;=3,3,IF(F867&lt;=5,5,IF(F867&lt;=7,7,9))))</f>
      </c>
      <c r="K867">
        <f>IF(F867=1,1,IF(F867&lt;=3,5,IF(F867&lt;=5,7,IF(F867&lt;=7,9,9))))</f>
      </c>
      <c r="L867" s="1">
        <f>IF(D867&gt;0,1/K867,I867)</f>
      </c>
      <c r="M867" s="1">
        <f>IF(D867&gt;0,1/J867,J867)</f>
      </c>
      <c r="N867" s="1">
        <f>IF(D867&gt;0,1/I867,K867)</f>
      </c>
    </row>
    <row r="868">
      <c r="A868">
        <v>28</v>
      </c>
      <c r="B868" t="str">
        <v>CP5</v>
      </c>
      <c r="C868" t="str">
        <v>CP7</v>
      </c>
      <c r="D868">
        <v>-7</v>
      </c>
      <c r="E868">
        <v>7</v>
      </c>
      <c r="F868">
        <f>ABS(D868)+1</f>
      </c>
      <c r="G868" t="str">
        <v>← CP5</v>
      </c>
      <c r="H868" t="str">
        <v>EXTREME</v>
      </c>
      <c r="I868">
        <f>IF(F868=1,1,IF(F868&lt;=3,1,IF(F868&lt;=5,3,IF(F868&lt;=7,5,7))))</f>
      </c>
      <c r="J868">
        <f>IF(F868=1,1,IF(F868&lt;=3,3,IF(F868&lt;=5,5,IF(F868&lt;=7,7,9))))</f>
      </c>
      <c r="K868">
        <f>IF(F868=1,1,IF(F868&lt;=3,5,IF(F868&lt;=5,7,IF(F868&lt;=7,9,9))))</f>
      </c>
      <c r="L868" s="1">
        <f>IF(D868&gt;0,1/K868,I868)</f>
      </c>
      <c r="M868" s="1">
        <f>IF(D868&gt;0,1/J868,J868)</f>
      </c>
      <c r="N868" s="1">
        <f>IF(D868&gt;0,1/I868,K868)</f>
      </c>
    </row>
    <row r="869">
      <c r="A869">
        <v>29</v>
      </c>
      <c r="B869" t="str">
        <v>CP5</v>
      </c>
      <c r="C869" t="str">
        <v>CP8</v>
      </c>
      <c r="D869">
        <v>-6</v>
      </c>
      <c r="E869">
        <v>6</v>
      </c>
      <c r="F869">
        <f>ABS(D869)+1</f>
      </c>
      <c r="G869" t="str">
        <v>← CP5</v>
      </c>
      <c r="H869" t="str">
        <v>VERY_STRONG</v>
      </c>
      <c r="I869">
        <f>IF(F869=1,1,IF(F869&lt;=3,1,IF(F869&lt;=5,3,IF(F869&lt;=7,5,7))))</f>
      </c>
      <c r="J869">
        <f>IF(F869=1,1,IF(F869&lt;=3,3,IF(F869&lt;=5,5,IF(F869&lt;=7,7,9))))</f>
      </c>
      <c r="K869">
        <f>IF(F869=1,1,IF(F869&lt;=3,5,IF(F869&lt;=5,7,IF(F869&lt;=7,9,9))))</f>
      </c>
      <c r="L869" s="1">
        <f>IF(D869&gt;0,1/K869,I869)</f>
      </c>
      <c r="M869" s="1">
        <f>IF(D869&gt;0,1/J869,J869)</f>
      </c>
      <c r="N869" s="1">
        <f>IF(D869&gt;0,1/I869,K869)</f>
      </c>
    </row>
    <row r="870">
      <c r="A870">
        <v>30</v>
      </c>
      <c r="B870" t="str">
        <v>CP5</v>
      </c>
      <c r="C870" t="str">
        <v>CP9</v>
      </c>
      <c r="D870">
        <v>-7</v>
      </c>
      <c r="E870">
        <v>7</v>
      </c>
      <c r="F870">
        <f>ABS(D870)+1</f>
      </c>
      <c r="G870" t="str">
        <v>← CP5</v>
      </c>
      <c r="H870" t="str">
        <v>EXTREME</v>
      </c>
      <c r="I870">
        <f>IF(F870=1,1,IF(F870&lt;=3,1,IF(F870&lt;=5,3,IF(F870&lt;=7,5,7))))</f>
      </c>
      <c r="J870">
        <f>IF(F870=1,1,IF(F870&lt;=3,3,IF(F870&lt;=5,5,IF(F870&lt;=7,7,9))))</f>
      </c>
      <c r="K870">
        <f>IF(F870=1,1,IF(F870&lt;=3,5,IF(F870&lt;=5,7,IF(F870&lt;=7,9,9))))</f>
      </c>
      <c r="L870" s="1">
        <f>IF(D870&gt;0,1/K870,I870)</f>
      </c>
      <c r="M870" s="1">
        <f>IF(D870&gt;0,1/J870,J870)</f>
      </c>
      <c r="N870" s="1">
        <f>IF(D870&gt;0,1/I870,K870)</f>
      </c>
    </row>
    <row r="871">
      <c r="A871">
        <v>31</v>
      </c>
      <c r="B871" t="str">
        <v>CP6</v>
      </c>
      <c r="C871" t="str">
        <v>CP7</v>
      </c>
      <c r="D871">
        <v>-7</v>
      </c>
      <c r="E871">
        <v>7</v>
      </c>
      <c r="F871">
        <f>ABS(D871)+1</f>
      </c>
      <c r="G871" t="str">
        <v>← CP6</v>
      </c>
      <c r="H871" t="str">
        <v>EXTREME</v>
      </c>
      <c r="I871">
        <f>IF(F871=1,1,IF(F871&lt;=3,1,IF(F871&lt;=5,3,IF(F871&lt;=7,5,7))))</f>
      </c>
      <c r="J871">
        <f>IF(F871=1,1,IF(F871&lt;=3,3,IF(F871&lt;=5,5,IF(F871&lt;=7,7,9))))</f>
      </c>
      <c r="K871">
        <f>IF(F871=1,1,IF(F871&lt;=3,5,IF(F871&lt;=5,7,IF(F871&lt;=7,9,9))))</f>
      </c>
      <c r="L871" s="1">
        <f>IF(D871&gt;0,1/K871,I871)</f>
      </c>
      <c r="M871" s="1">
        <f>IF(D871&gt;0,1/J871,J871)</f>
      </c>
      <c r="N871" s="1">
        <f>IF(D871&gt;0,1/I871,K871)</f>
      </c>
    </row>
    <row r="872">
      <c r="A872">
        <v>32</v>
      </c>
      <c r="B872" t="str">
        <v>CP6</v>
      </c>
      <c r="C872" t="str">
        <v>CP8</v>
      </c>
      <c r="D872">
        <v>6</v>
      </c>
      <c r="E872">
        <v>6</v>
      </c>
      <c r="F872">
        <f>ABS(D872)+1</f>
      </c>
      <c r="G872" t="str">
        <v>→ CP8</v>
      </c>
      <c r="H872" t="str">
        <v>VERY_STRONG</v>
      </c>
      <c r="I872">
        <f>IF(F872=1,1,IF(F872&lt;=3,1,IF(F872&lt;=5,3,IF(F872&lt;=7,5,7))))</f>
      </c>
      <c r="J872">
        <f>IF(F872=1,1,IF(F872&lt;=3,3,IF(F872&lt;=5,5,IF(F872&lt;=7,7,9))))</f>
      </c>
      <c r="K872">
        <f>IF(F872=1,1,IF(F872&lt;=3,5,IF(F872&lt;=5,7,IF(F872&lt;=7,9,9))))</f>
      </c>
      <c r="L872" s="1">
        <f>IF(D872&gt;0,1/K872,I872)</f>
      </c>
      <c r="M872" s="1">
        <f>IF(D872&gt;0,1/J872,J872)</f>
      </c>
      <c r="N872" s="1">
        <f>IF(D872&gt;0,1/I872,K872)</f>
      </c>
    </row>
    <row r="873">
      <c r="A873">
        <v>33</v>
      </c>
      <c r="B873" t="str">
        <v>CP6</v>
      </c>
      <c r="C873" t="str">
        <v>CP9</v>
      </c>
      <c r="D873">
        <v>-5</v>
      </c>
      <c r="E873">
        <v>5</v>
      </c>
      <c r="F873">
        <f>ABS(D873)+1</f>
      </c>
      <c r="G873" t="str">
        <v>← CP6</v>
      </c>
      <c r="H873" t="str">
        <v>VERY_STRONG</v>
      </c>
      <c r="I873">
        <f>IF(F873=1,1,IF(F873&lt;=3,1,IF(F873&lt;=5,3,IF(F873&lt;=7,5,7))))</f>
      </c>
      <c r="J873">
        <f>IF(F873=1,1,IF(F873&lt;=3,3,IF(F873&lt;=5,5,IF(F873&lt;=7,7,9))))</f>
      </c>
      <c r="K873">
        <f>IF(F873=1,1,IF(F873&lt;=3,5,IF(F873&lt;=5,7,IF(F873&lt;=7,9,9))))</f>
      </c>
      <c r="L873" s="1">
        <f>IF(D873&gt;0,1/K873,I873)</f>
      </c>
      <c r="M873" s="1">
        <f>IF(D873&gt;0,1/J873,J873)</f>
      </c>
      <c r="N873" s="1">
        <f>IF(D873&gt;0,1/I873,K873)</f>
      </c>
    </row>
    <row r="874">
      <c r="A874">
        <v>34</v>
      </c>
      <c r="B874" t="str">
        <v>CP7</v>
      </c>
      <c r="C874" t="str">
        <v>CP8</v>
      </c>
      <c r="D874">
        <v>6</v>
      </c>
      <c r="E874">
        <v>6</v>
      </c>
      <c r="F874">
        <f>ABS(D874)+1</f>
      </c>
      <c r="G874" t="str">
        <v>→ CP8</v>
      </c>
      <c r="H874" t="str">
        <v>VERY_STRONG</v>
      </c>
      <c r="I874">
        <f>IF(F874=1,1,IF(F874&lt;=3,1,IF(F874&lt;=5,3,IF(F874&lt;=7,5,7))))</f>
      </c>
      <c r="J874">
        <f>IF(F874=1,1,IF(F874&lt;=3,3,IF(F874&lt;=5,5,IF(F874&lt;=7,7,9))))</f>
      </c>
      <c r="K874">
        <f>IF(F874=1,1,IF(F874&lt;=3,5,IF(F874&lt;=5,7,IF(F874&lt;=7,9,9))))</f>
      </c>
      <c r="L874" s="1">
        <f>IF(D874&gt;0,1/K874,I874)</f>
      </c>
      <c r="M874" s="1">
        <f>IF(D874&gt;0,1/J874,J874)</f>
      </c>
      <c r="N874" s="1">
        <f>IF(D874&gt;0,1/I874,K874)</f>
      </c>
    </row>
    <row r="875">
      <c r="A875">
        <v>35</v>
      </c>
      <c r="B875" t="str">
        <v>CP7</v>
      </c>
      <c r="C875" t="str">
        <v>CP9</v>
      </c>
      <c r="D875">
        <v>-7</v>
      </c>
      <c r="E875">
        <v>7</v>
      </c>
      <c r="F875">
        <f>ABS(D875)+1</f>
      </c>
      <c r="G875" t="str">
        <v>← CP7</v>
      </c>
      <c r="H875" t="str">
        <v>EXTREME</v>
      </c>
      <c r="I875">
        <f>IF(F875=1,1,IF(F875&lt;=3,1,IF(F875&lt;=5,3,IF(F875&lt;=7,5,7))))</f>
      </c>
      <c r="J875">
        <f>IF(F875=1,1,IF(F875&lt;=3,3,IF(F875&lt;=5,5,IF(F875&lt;=7,7,9))))</f>
      </c>
      <c r="K875">
        <f>IF(F875=1,1,IF(F875&lt;=3,5,IF(F875&lt;=5,7,IF(F875&lt;=7,9,9))))</f>
      </c>
      <c r="L875" s="1">
        <f>IF(D875&gt;0,1/K875,I875)</f>
      </c>
      <c r="M875" s="1">
        <f>IF(D875&gt;0,1/J875,J875)</f>
      </c>
      <c r="N875" s="1">
        <f>IF(D875&gt;0,1/I875,K875)</f>
      </c>
    </row>
    <row r="876">
      <c r="A876">
        <v>36</v>
      </c>
      <c r="B876" t="str">
        <v>CP8</v>
      </c>
      <c r="C876" t="str">
        <v>CP9</v>
      </c>
      <c r="D876">
        <v>-7</v>
      </c>
      <c r="E876">
        <v>7</v>
      </c>
      <c r="F876">
        <f>ABS(D876)+1</f>
      </c>
      <c r="G876" t="str">
        <v>← CP8</v>
      </c>
      <c r="H876" t="str">
        <v>EXTREME</v>
      </c>
      <c r="I876">
        <f>IF(F876=1,1,IF(F876&lt;=3,1,IF(F876&lt;=5,3,IF(F876&lt;=7,5,7))))</f>
      </c>
      <c r="J876">
        <f>IF(F876=1,1,IF(F876&lt;=3,3,IF(F876&lt;=5,5,IF(F876&lt;=7,7,9))))</f>
      </c>
      <c r="K876">
        <f>IF(F876=1,1,IF(F876&lt;=3,5,IF(F876&lt;=5,7,IF(F876&lt;=7,9,9))))</f>
      </c>
      <c r="L876" s="1">
        <f>IF(D876&gt;0,1/K876,I876)</f>
      </c>
      <c r="M876" s="1">
        <f>IF(D876&gt;0,1/J876,J876)</f>
      </c>
      <c r="N876" s="1">
        <f>IF(D876&gt;0,1/I876,K876)</f>
      </c>
    </row>
  </sheetData>
  <ignoredErrors>
    <ignoredError numberStoredAsText="1" sqref="A1:O8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T44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  <col min="70" max="70" width="12.83203125" customWidth="1"/>
    <col min="71" max="71" width="12.83203125" customWidth="1"/>
  </cols>
  <sheetData>
    <row r="1">
      <c r="A1" t="str">
        <v>AGREGASI GEOMETRIC MEAN — TFN Antar Responden</v>
      </c>
    </row>
    <row r="2">
      <c r="A2" t="str">
        <v>Jumlah Responden (n): 21</v>
      </c>
    </row>
    <row r="3">
      <c r="A3" t="str">
        <v>Rumus: GM_komponen = (∏ komponen_i)^(1/n)</v>
      </c>
    </row>
    <row r="4">
      <c r="A4" t="str">
        <v>Geometric mean dihitung TERPISAH untuk setiap komponen l, m, u</v>
      </c>
    </row>
    <row r="6">
      <c r="A6" t="str">
        <v>No</v>
      </c>
      <c r="B6" t="str">
        <v>Pasangan</v>
      </c>
      <c r="C6" t="str">
        <v>R1_l</v>
      </c>
      <c r="D6" t="str">
        <v>R1_m</v>
      </c>
      <c r="E6" t="str">
        <v>R1_u</v>
      </c>
      <c r="F6" t="str">
        <v>R2_l</v>
      </c>
      <c r="G6" t="str">
        <v>R2_m</v>
      </c>
      <c r="H6" t="str">
        <v>R2_u</v>
      </c>
      <c r="I6" t="str">
        <v>R3_l</v>
      </c>
      <c r="J6" t="str">
        <v>R3_m</v>
      </c>
      <c r="K6" t="str">
        <v>R3_u</v>
      </c>
      <c r="L6" t="str">
        <v>R4_l</v>
      </c>
      <c r="M6" t="str">
        <v>R4_m</v>
      </c>
      <c r="N6" t="str">
        <v>R4_u</v>
      </c>
      <c r="O6" t="str">
        <v>R5_l</v>
      </c>
      <c r="P6" t="str">
        <v>R5_m</v>
      </c>
      <c r="Q6" t="str">
        <v>R5_u</v>
      </c>
      <c r="R6" t="str">
        <v>R6_l</v>
      </c>
      <c r="S6" t="str">
        <v>R6_m</v>
      </c>
      <c r="T6" t="str">
        <v>R6_u</v>
      </c>
      <c r="U6" t="str">
        <v>R7_l</v>
      </c>
      <c r="V6" t="str">
        <v>R7_m</v>
      </c>
      <c r="W6" t="str">
        <v>R7_u</v>
      </c>
      <c r="X6" t="str">
        <v>R8_l</v>
      </c>
      <c r="Y6" t="str">
        <v>R8_m</v>
      </c>
      <c r="Z6" t="str">
        <v>R8_u</v>
      </c>
      <c r="AA6" t="str">
        <v>R9_l</v>
      </c>
      <c r="AB6" t="str">
        <v>R9_m</v>
      </c>
      <c r="AC6" t="str">
        <v>R9_u</v>
      </c>
      <c r="AD6" t="str">
        <v>R10_l</v>
      </c>
      <c r="AE6" t="str">
        <v>R10_m</v>
      </c>
      <c r="AF6" t="str">
        <v>R10_u</v>
      </c>
      <c r="AG6" t="str">
        <v>R11_l</v>
      </c>
      <c r="AH6" t="str">
        <v>R11_m</v>
      </c>
      <c r="AI6" t="str">
        <v>R11_u</v>
      </c>
      <c r="AJ6" t="str">
        <v>R12_l</v>
      </c>
      <c r="AK6" t="str">
        <v>R12_m</v>
      </c>
      <c r="AL6" t="str">
        <v>R12_u</v>
      </c>
      <c r="AM6" t="str">
        <v>R13_l</v>
      </c>
      <c r="AN6" t="str">
        <v>R13_m</v>
      </c>
      <c r="AO6" t="str">
        <v>R13_u</v>
      </c>
      <c r="AP6" t="str">
        <v>R14_l</v>
      </c>
      <c r="AQ6" t="str">
        <v>R14_m</v>
      </c>
      <c r="AR6" t="str">
        <v>R14_u</v>
      </c>
      <c r="AS6" t="str">
        <v>R15_l</v>
      </c>
      <c r="AT6" t="str">
        <v>R15_m</v>
      </c>
      <c r="AU6" t="str">
        <v>R15_u</v>
      </c>
      <c r="AV6" t="str">
        <v>R16_l</v>
      </c>
      <c r="AW6" t="str">
        <v>R16_m</v>
      </c>
      <c r="AX6" t="str">
        <v>R16_u</v>
      </c>
      <c r="AY6" t="str">
        <v>R17_l</v>
      </c>
      <c r="AZ6" t="str">
        <v>R17_m</v>
      </c>
      <c r="BA6" t="str">
        <v>R17_u</v>
      </c>
      <c r="BB6" t="str">
        <v>R18_l</v>
      </c>
      <c r="BC6" t="str">
        <v>R18_m</v>
      </c>
      <c r="BD6" t="str">
        <v>R18_u</v>
      </c>
      <c r="BE6" t="str">
        <v>R19_l</v>
      </c>
      <c r="BF6" t="str">
        <v>R19_m</v>
      </c>
      <c r="BG6" t="str">
        <v>R19_u</v>
      </c>
      <c r="BH6" t="str">
        <v>R20_l</v>
      </c>
      <c r="BI6" t="str">
        <v>R20_m</v>
      </c>
      <c r="BJ6" t="str">
        <v>R20_u</v>
      </c>
      <c r="BK6" t="str">
        <v>R21_l</v>
      </c>
      <c r="BL6" t="str">
        <v>R21_m</v>
      </c>
      <c r="BM6" t="str">
        <v>R21_u</v>
      </c>
      <c r="BN6" t="str">
        <v>Prod_l</v>
      </c>
      <c r="BO6" t="str">
        <v>Prod_m</v>
      </c>
      <c r="BP6" t="str">
        <v>Prod_u</v>
      </c>
      <c r="BQ6" t="str">
        <v>GM_l</v>
      </c>
      <c r="BR6" t="str">
        <v>GM_m</v>
      </c>
      <c r="BS6" t="str">
        <v>GM_u</v>
      </c>
    </row>
    <row r="7">
      <c r="A7">
        <v>1</v>
      </c>
      <c r="B7" t="str">
        <v>CP1_vs_CP2</v>
      </c>
      <c r="C7" s="1">
        <f>'DATA_RESPONDEN'!L21</f>
      </c>
      <c r="D7" s="1">
        <f>'DATA_RESPONDEN'!M21</f>
      </c>
      <c r="E7" s="1">
        <f>'DATA_RESPONDEN'!N21</f>
      </c>
      <c r="F7" s="1">
        <f>'DATA_RESPONDEN'!L62</f>
      </c>
      <c r="G7" s="1">
        <f>'DATA_RESPONDEN'!M62</f>
      </c>
      <c r="H7" s="1">
        <f>'DATA_RESPONDEN'!N62</f>
      </c>
      <c r="I7" s="1">
        <f>'DATA_RESPONDEN'!L103</f>
      </c>
      <c r="J7" s="1">
        <f>'DATA_RESPONDEN'!M103</f>
      </c>
      <c r="K7" s="1">
        <f>'DATA_RESPONDEN'!N103</f>
      </c>
      <c r="L7" s="1">
        <f>'DATA_RESPONDEN'!L144</f>
      </c>
      <c r="M7" s="1">
        <f>'DATA_RESPONDEN'!M144</f>
      </c>
      <c r="N7" s="1">
        <f>'DATA_RESPONDEN'!N144</f>
      </c>
      <c r="O7" s="1">
        <f>'DATA_RESPONDEN'!L185</f>
      </c>
      <c r="P7" s="1">
        <f>'DATA_RESPONDEN'!M185</f>
      </c>
      <c r="Q7" s="1">
        <f>'DATA_RESPONDEN'!N185</f>
      </c>
      <c r="R7" s="1">
        <f>'DATA_RESPONDEN'!L226</f>
      </c>
      <c r="S7" s="1">
        <f>'DATA_RESPONDEN'!M226</f>
      </c>
      <c r="T7" s="1">
        <f>'DATA_RESPONDEN'!N226</f>
      </c>
      <c r="U7" s="1">
        <f>'DATA_RESPONDEN'!L267</f>
      </c>
      <c r="V7" s="1">
        <f>'DATA_RESPONDEN'!M267</f>
      </c>
      <c r="W7" s="1">
        <f>'DATA_RESPONDEN'!N267</f>
      </c>
      <c r="X7" s="1">
        <f>'DATA_RESPONDEN'!L308</f>
      </c>
      <c r="Y7" s="1">
        <f>'DATA_RESPONDEN'!M308</f>
      </c>
      <c r="Z7" s="1">
        <f>'DATA_RESPONDEN'!N308</f>
      </c>
      <c r="AA7" s="1">
        <f>'DATA_RESPONDEN'!L349</f>
      </c>
      <c r="AB7" s="1">
        <f>'DATA_RESPONDEN'!M349</f>
      </c>
      <c r="AC7" s="1">
        <f>'DATA_RESPONDEN'!N349</f>
      </c>
      <c r="AD7" s="1">
        <f>'DATA_RESPONDEN'!L390</f>
      </c>
      <c r="AE7" s="1">
        <f>'DATA_RESPONDEN'!M390</f>
      </c>
      <c r="AF7" s="1">
        <f>'DATA_RESPONDEN'!N390</f>
      </c>
      <c r="AG7" s="1">
        <f>'DATA_RESPONDEN'!L431</f>
      </c>
      <c r="AH7" s="1">
        <f>'DATA_RESPONDEN'!M431</f>
      </c>
      <c r="AI7" s="1">
        <f>'DATA_RESPONDEN'!N431</f>
      </c>
      <c r="AJ7" s="1">
        <f>'DATA_RESPONDEN'!L472</f>
      </c>
      <c r="AK7" s="1">
        <f>'DATA_RESPONDEN'!M472</f>
      </c>
      <c r="AL7" s="1">
        <f>'DATA_RESPONDEN'!N472</f>
      </c>
      <c r="AM7" s="1">
        <f>'DATA_RESPONDEN'!L513</f>
      </c>
      <c r="AN7" s="1">
        <f>'DATA_RESPONDEN'!M513</f>
      </c>
      <c r="AO7" s="1">
        <f>'DATA_RESPONDEN'!N513</f>
      </c>
      <c r="AP7" s="1">
        <f>'DATA_RESPONDEN'!L554</f>
      </c>
      <c r="AQ7" s="1">
        <f>'DATA_RESPONDEN'!M554</f>
      </c>
      <c r="AR7" s="1">
        <f>'DATA_RESPONDEN'!N554</f>
      </c>
      <c r="AS7" s="1">
        <f>'DATA_RESPONDEN'!L595</f>
      </c>
      <c r="AT7" s="1">
        <f>'DATA_RESPONDEN'!M595</f>
      </c>
      <c r="AU7" s="1">
        <f>'DATA_RESPONDEN'!N595</f>
      </c>
      <c r="AV7" s="1">
        <f>'DATA_RESPONDEN'!L636</f>
      </c>
      <c r="AW7" s="1">
        <f>'DATA_RESPONDEN'!M636</f>
      </c>
      <c r="AX7" s="1">
        <f>'DATA_RESPONDEN'!N636</f>
      </c>
      <c r="AY7" s="1">
        <f>'DATA_RESPONDEN'!L677</f>
      </c>
      <c r="AZ7" s="1">
        <f>'DATA_RESPONDEN'!M677</f>
      </c>
      <c r="BA7" s="1">
        <f>'DATA_RESPONDEN'!N677</f>
      </c>
      <c r="BB7" s="1">
        <f>'DATA_RESPONDEN'!L718</f>
      </c>
      <c r="BC7" s="1">
        <f>'DATA_RESPONDEN'!M718</f>
      </c>
      <c r="BD7" s="1">
        <f>'DATA_RESPONDEN'!N718</f>
      </c>
      <c r="BE7" s="1">
        <f>'DATA_RESPONDEN'!L759</f>
      </c>
      <c r="BF7" s="1">
        <f>'DATA_RESPONDEN'!M759</f>
      </c>
      <c r="BG7" s="1">
        <f>'DATA_RESPONDEN'!N759</f>
      </c>
      <c r="BH7" s="1">
        <f>'DATA_RESPONDEN'!L800</f>
      </c>
      <c r="BI7" s="1">
        <f>'DATA_RESPONDEN'!M800</f>
      </c>
      <c r="BJ7" s="1">
        <f>'DATA_RESPONDEN'!N800</f>
      </c>
      <c r="BK7" s="1">
        <f>'DATA_RESPONDEN'!L841</f>
      </c>
      <c r="BL7" s="1">
        <f>'DATA_RESPONDEN'!M841</f>
      </c>
      <c r="BM7" s="1">
        <f>'DATA_RESPONDEN'!N841</f>
      </c>
      <c r="BN7" s="2">
        <f>PRODUCT(C7,F7,I7,L7,O7,R7,U7,X7,AA7,AD7,AG7,AJ7,AM7,AP7,AS7,AV7,AY7,BB7,BE7,BH7,BK7)</f>
      </c>
      <c r="BO7" s="2">
        <f>PRODUCT(D7,G7,J7,M7,P7,S7,V7,Y7,AB7,AE7,AH7,AK7,AN7,AQ7,AT7,AW7,AZ7,BC7,BF7,BI7,BL7)</f>
      </c>
      <c r="BP7" s="2">
        <f>PRODUCT(E7,H7,K7,N7,Q7,T7,W7,Z7,AC7,AF7,AI7,AL7,AO7,AR7,AU7,AX7,BA7,BD7,BG7,BJ7,BM7)</f>
      </c>
      <c r="BQ7" s="1">
        <f>POWER(BN7,1/21)</f>
      </c>
      <c r="BR7" s="1">
        <f>POWER(BO7,1/21)</f>
      </c>
      <c r="BS7" s="1">
        <f>POWER(BP7,1/21)</f>
      </c>
    </row>
    <row r="8">
      <c r="A8">
        <v>2</v>
      </c>
      <c r="B8" t="str">
        <v>CP1_vs_CP3</v>
      </c>
      <c r="C8" s="1">
        <f>'DATA_RESPONDEN'!L22</f>
      </c>
      <c r="D8" s="1">
        <f>'DATA_RESPONDEN'!M22</f>
      </c>
      <c r="E8" s="1">
        <f>'DATA_RESPONDEN'!N22</f>
      </c>
      <c r="F8" s="1">
        <f>'DATA_RESPONDEN'!L63</f>
      </c>
      <c r="G8" s="1">
        <f>'DATA_RESPONDEN'!M63</f>
      </c>
      <c r="H8" s="1">
        <f>'DATA_RESPONDEN'!N63</f>
      </c>
      <c r="I8" s="1">
        <f>'DATA_RESPONDEN'!L104</f>
      </c>
      <c r="J8" s="1">
        <f>'DATA_RESPONDEN'!M104</f>
      </c>
      <c r="K8" s="1">
        <f>'DATA_RESPONDEN'!N104</f>
      </c>
      <c r="L8" s="1">
        <f>'DATA_RESPONDEN'!L145</f>
      </c>
      <c r="M8" s="1">
        <f>'DATA_RESPONDEN'!M145</f>
      </c>
      <c r="N8" s="1">
        <f>'DATA_RESPONDEN'!N145</f>
      </c>
      <c r="O8" s="1">
        <f>'DATA_RESPONDEN'!L186</f>
      </c>
      <c r="P8" s="1">
        <f>'DATA_RESPONDEN'!M186</f>
      </c>
      <c r="Q8" s="1">
        <f>'DATA_RESPONDEN'!N186</f>
      </c>
      <c r="R8" s="1">
        <f>'DATA_RESPONDEN'!L227</f>
      </c>
      <c r="S8" s="1">
        <f>'DATA_RESPONDEN'!M227</f>
      </c>
      <c r="T8" s="1">
        <f>'DATA_RESPONDEN'!N227</f>
      </c>
      <c r="U8" s="1">
        <f>'DATA_RESPONDEN'!L268</f>
      </c>
      <c r="V8" s="1">
        <f>'DATA_RESPONDEN'!M268</f>
      </c>
      <c r="W8" s="1">
        <f>'DATA_RESPONDEN'!N268</f>
      </c>
      <c r="X8" s="1">
        <f>'DATA_RESPONDEN'!L309</f>
      </c>
      <c r="Y8" s="1">
        <f>'DATA_RESPONDEN'!M309</f>
      </c>
      <c r="Z8" s="1">
        <f>'DATA_RESPONDEN'!N309</f>
      </c>
      <c r="AA8" s="1">
        <f>'DATA_RESPONDEN'!L350</f>
      </c>
      <c r="AB8" s="1">
        <f>'DATA_RESPONDEN'!M350</f>
      </c>
      <c r="AC8" s="1">
        <f>'DATA_RESPONDEN'!N350</f>
      </c>
      <c r="AD8" s="1">
        <f>'DATA_RESPONDEN'!L391</f>
      </c>
      <c r="AE8" s="1">
        <f>'DATA_RESPONDEN'!M391</f>
      </c>
      <c r="AF8" s="1">
        <f>'DATA_RESPONDEN'!N391</f>
      </c>
      <c r="AG8" s="1">
        <f>'DATA_RESPONDEN'!L432</f>
      </c>
      <c r="AH8" s="1">
        <f>'DATA_RESPONDEN'!M432</f>
      </c>
      <c r="AI8" s="1">
        <f>'DATA_RESPONDEN'!N432</f>
      </c>
      <c r="AJ8" s="1">
        <f>'DATA_RESPONDEN'!L473</f>
      </c>
      <c r="AK8" s="1">
        <f>'DATA_RESPONDEN'!M473</f>
      </c>
      <c r="AL8" s="1">
        <f>'DATA_RESPONDEN'!N473</f>
      </c>
      <c r="AM8" s="1">
        <f>'DATA_RESPONDEN'!L514</f>
      </c>
      <c r="AN8" s="1">
        <f>'DATA_RESPONDEN'!M514</f>
      </c>
      <c r="AO8" s="1">
        <f>'DATA_RESPONDEN'!N514</f>
      </c>
      <c r="AP8" s="1">
        <f>'DATA_RESPONDEN'!L555</f>
      </c>
      <c r="AQ8" s="1">
        <f>'DATA_RESPONDEN'!M555</f>
      </c>
      <c r="AR8" s="1">
        <f>'DATA_RESPONDEN'!N555</f>
      </c>
      <c r="AS8" s="1">
        <f>'DATA_RESPONDEN'!L596</f>
      </c>
      <c r="AT8" s="1">
        <f>'DATA_RESPONDEN'!M596</f>
      </c>
      <c r="AU8" s="1">
        <f>'DATA_RESPONDEN'!N596</f>
      </c>
      <c r="AV8" s="1">
        <f>'DATA_RESPONDEN'!L637</f>
      </c>
      <c r="AW8" s="1">
        <f>'DATA_RESPONDEN'!M637</f>
      </c>
      <c r="AX8" s="1">
        <f>'DATA_RESPONDEN'!N637</f>
      </c>
      <c r="AY8" s="1">
        <f>'DATA_RESPONDEN'!L678</f>
      </c>
      <c r="AZ8" s="1">
        <f>'DATA_RESPONDEN'!M678</f>
      </c>
      <c r="BA8" s="1">
        <f>'DATA_RESPONDEN'!N678</f>
      </c>
      <c r="BB8" s="1">
        <f>'DATA_RESPONDEN'!L719</f>
      </c>
      <c r="BC8" s="1">
        <f>'DATA_RESPONDEN'!M719</f>
      </c>
      <c r="BD8" s="1">
        <f>'DATA_RESPONDEN'!N719</f>
      </c>
      <c r="BE8" s="1">
        <f>'DATA_RESPONDEN'!L760</f>
      </c>
      <c r="BF8" s="1">
        <f>'DATA_RESPONDEN'!M760</f>
      </c>
      <c r="BG8" s="1">
        <f>'DATA_RESPONDEN'!N760</f>
      </c>
      <c r="BH8" s="1">
        <f>'DATA_RESPONDEN'!L801</f>
      </c>
      <c r="BI8" s="1">
        <f>'DATA_RESPONDEN'!M801</f>
      </c>
      <c r="BJ8" s="1">
        <f>'DATA_RESPONDEN'!N801</f>
      </c>
      <c r="BK8" s="1">
        <f>'DATA_RESPONDEN'!L842</f>
      </c>
      <c r="BL8" s="1">
        <f>'DATA_RESPONDEN'!M842</f>
      </c>
      <c r="BM8" s="1">
        <f>'DATA_RESPONDEN'!N842</f>
      </c>
      <c r="BN8" s="2">
        <f>PRODUCT(C8,F8,I8,L8,O8,R8,U8,X8,AA8,AD8,AG8,AJ8,AM8,AP8,AS8,AV8,AY8,BB8,BE8,BH8,BK8)</f>
      </c>
      <c r="BO8" s="2">
        <f>PRODUCT(D8,G8,J8,M8,P8,S8,V8,Y8,AB8,AE8,AH8,AK8,AN8,AQ8,AT8,AW8,AZ8,BC8,BF8,BI8,BL8)</f>
      </c>
      <c r="BP8" s="2">
        <f>PRODUCT(E8,H8,K8,N8,Q8,T8,W8,Z8,AC8,AF8,AI8,AL8,AO8,AR8,AU8,AX8,BA8,BD8,BG8,BJ8,BM8)</f>
      </c>
      <c r="BQ8" s="1">
        <f>POWER(BN8,1/21)</f>
      </c>
      <c r="BR8" s="1">
        <f>POWER(BO8,1/21)</f>
      </c>
      <c r="BS8" s="1">
        <f>POWER(BP8,1/21)</f>
      </c>
    </row>
    <row r="9">
      <c r="A9">
        <v>3</v>
      </c>
      <c r="B9" t="str">
        <v>CP1_vs_CP4</v>
      </c>
      <c r="C9" s="1">
        <f>'DATA_RESPONDEN'!L23</f>
      </c>
      <c r="D9" s="1">
        <f>'DATA_RESPONDEN'!M23</f>
      </c>
      <c r="E9" s="1">
        <f>'DATA_RESPONDEN'!N23</f>
      </c>
      <c r="F9" s="1">
        <f>'DATA_RESPONDEN'!L64</f>
      </c>
      <c r="G9" s="1">
        <f>'DATA_RESPONDEN'!M64</f>
      </c>
      <c r="H9" s="1">
        <f>'DATA_RESPONDEN'!N64</f>
      </c>
      <c r="I9" s="1">
        <f>'DATA_RESPONDEN'!L105</f>
      </c>
      <c r="J9" s="1">
        <f>'DATA_RESPONDEN'!M105</f>
      </c>
      <c r="K9" s="1">
        <f>'DATA_RESPONDEN'!N105</f>
      </c>
      <c r="L9" s="1">
        <f>'DATA_RESPONDEN'!L146</f>
      </c>
      <c r="M9" s="1">
        <f>'DATA_RESPONDEN'!M146</f>
      </c>
      <c r="N9" s="1">
        <f>'DATA_RESPONDEN'!N146</f>
      </c>
      <c r="O9" s="1">
        <f>'DATA_RESPONDEN'!L187</f>
      </c>
      <c r="P9" s="1">
        <f>'DATA_RESPONDEN'!M187</f>
      </c>
      <c r="Q9" s="1">
        <f>'DATA_RESPONDEN'!N187</f>
      </c>
      <c r="R9" s="1">
        <f>'DATA_RESPONDEN'!L228</f>
      </c>
      <c r="S9" s="1">
        <f>'DATA_RESPONDEN'!M228</f>
      </c>
      <c r="T9" s="1">
        <f>'DATA_RESPONDEN'!N228</f>
      </c>
      <c r="U9" s="1">
        <f>'DATA_RESPONDEN'!L269</f>
      </c>
      <c r="V9" s="1">
        <f>'DATA_RESPONDEN'!M269</f>
      </c>
      <c r="W9" s="1">
        <f>'DATA_RESPONDEN'!N269</f>
      </c>
      <c r="X9" s="1">
        <f>'DATA_RESPONDEN'!L310</f>
      </c>
      <c r="Y9" s="1">
        <f>'DATA_RESPONDEN'!M310</f>
      </c>
      <c r="Z9" s="1">
        <f>'DATA_RESPONDEN'!N310</f>
      </c>
      <c r="AA9" s="1">
        <f>'DATA_RESPONDEN'!L351</f>
      </c>
      <c r="AB9" s="1">
        <f>'DATA_RESPONDEN'!M351</f>
      </c>
      <c r="AC9" s="1">
        <f>'DATA_RESPONDEN'!N351</f>
      </c>
      <c r="AD9" s="1">
        <f>'DATA_RESPONDEN'!L392</f>
      </c>
      <c r="AE9" s="1">
        <f>'DATA_RESPONDEN'!M392</f>
      </c>
      <c r="AF9" s="1">
        <f>'DATA_RESPONDEN'!N392</f>
      </c>
      <c r="AG9" s="1">
        <f>'DATA_RESPONDEN'!L433</f>
      </c>
      <c r="AH9" s="1">
        <f>'DATA_RESPONDEN'!M433</f>
      </c>
      <c r="AI9" s="1">
        <f>'DATA_RESPONDEN'!N433</f>
      </c>
      <c r="AJ9" s="1">
        <f>'DATA_RESPONDEN'!L474</f>
      </c>
      <c r="AK9" s="1">
        <f>'DATA_RESPONDEN'!M474</f>
      </c>
      <c r="AL9" s="1">
        <f>'DATA_RESPONDEN'!N474</f>
      </c>
      <c r="AM9" s="1">
        <f>'DATA_RESPONDEN'!L515</f>
      </c>
      <c r="AN9" s="1">
        <f>'DATA_RESPONDEN'!M515</f>
      </c>
      <c r="AO9" s="1">
        <f>'DATA_RESPONDEN'!N515</f>
      </c>
      <c r="AP9" s="1">
        <f>'DATA_RESPONDEN'!L556</f>
      </c>
      <c r="AQ9" s="1">
        <f>'DATA_RESPONDEN'!M556</f>
      </c>
      <c r="AR9" s="1">
        <f>'DATA_RESPONDEN'!N556</f>
      </c>
      <c r="AS9" s="1">
        <f>'DATA_RESPONDEN'!L597</f>
      </c>
      <c r="AT9" s="1">
        <f>'DATA_RESPONDEN'!M597</f>
      </c>
      <c r="AU9" s="1">
        <f>'DATA_RESPONDEN'!N597</f>
      </c>
      <c r="AV9" s="1">
        <f>'DATA_RESPONDEN'!L638</f>
      </c>
      <c r="AW9" s="1">
        <f>'DATA_RESPONDEN'!M638</f>
      </c>
      <c r="AX9" s="1">
        <f>'DATA_RESPONDEN'!N638</f>
      </c>
      <c r="AY9" s="1">
        <f>'DATA_RESPONDEN'!L679</f>
      </c>
      <c r="AZ9" s="1">
        <f>'DATA_RESPONDEN'!M679</f>
      </c>
      <c r="BA9" s="1">
        <f>'DATA_RESPONDEN'!N679</f>
      </c>
      <c r="BB9" s="1">
        <f>'DATA_RESPONDEN'!L720</f>
      </c>
      <c r="BC9" s="1">
        <f>'DATA_RESPONDEN'!M720</f>
      </c>
      <c r="BD9" s="1">
        <f>'DATA_RESPONDEN'!N720</f>
      </c>
      <c r="BE9" s="1">
        <f>'DATA_RESPONDEN'!L761</f>
      </c>
      <c r="BF9" s="1">
        <f>'DATA_RESPONDEN'!M761</f>
      </c>
      <c r="BG9" s="1">
        <f>'DATA_RESPONDEN'!N761</f>
      </c>
      <c r="BH9" s="1">
        <f>'DATA_RESPONDEN'!L802</f>
      </c>
      <c r="BI9" s="1">
        <f>'DATA_RESPONDEN'!M802</f>
      </c>
      <c r="BJ9" s="1">
        <f>'DATA_RESPONDEN'!N802</f>
      </c>
      <c r="BK9" s="1">
        <f>'DATA_RESPONDEN'!L843</f>
      </c>
      <c r="BL9" s="1">
        <f>'DATA_RESPONDEN'!M843</f>
      </c>
      <c r="BM9" s="1">
        <f>'DATA_RESPONDEN'!N843</f>
      </c>
      <c r="BN9" s="2">
        <f>PRODUCT(C9,F9,I9,L9,O9,R9,U9,X9,AA9,AD9,AG9,AJ9,AM9,AP9,AS9,AV9,AY9,BB9,BE9,BH9,BK9)</f>
      </c>
      <c r="BO9" s="2">
        <f>PRODUCT(D9,G9,J9,M9,P9,S9,V9,Y9,AB9,AE9,AH9,AK9,AN9,AQ9,AT9,AW9,AZ9,BC9,BF9,BI9,BL9)</f>
      </c>
      <c r="BP9" s="2">
        <f>PRODUCT(E9,H9,K9,N9,Q9,T9,W9,Z9,AC9,AF9,AI9,AL9,AO9,AR9,AU9,AX9,BA9,BD9,BG9,BJ9,BM9)</f>
      </c>
      <c r="BQ9" s="1">
        <f>POWER(BN9,1/21)</f>
      </c>
      <c r="BR9" s="1">
        <f>POWER(BO9,1/21)</f>
      </c>
      <c r="BS9" s="1">
        <f>POWER(BP9,1/21)</f>
      </c>
    </row>
    <row r="10">
      <c r="A10">
        <v>4</v>
      </c>
      <c r="B10" t="str">
        <v>CP1_vs_CP5</v>
      </c>
      <c r="C10" s="1">
        <f>'DATA_RESPONDEN'!L24</f>
      </c>
      <c r="D10" s="1">
        <f>'DATA_RESPONDEN'!M24</f>
      </c>
      <c r="E10" s="1">
        <f>'DATA_RESPONDEN'!N24</f>
      </c>
      <c r="F10" s="1">
        <f>'DATA_RESPONDEN'!L65</f>
      </c>
      <c r="G10" s="1">
        <f>'DATA_RESPONDEN'!M65</f>
      </c>
      <c r="H10" s="1">
        <f>'DATA_RESPONDEN'!N65</f>
      </c>
      <c r="I10" s="1">
        <f>'DATA_RESPONDEN'!L106</f>
      </c>
      <c r="J10" s="1">
        <f>'DATA_RESPONDEN'!M106</f>
      </c>
      <c r="K10" s="1">
        <f>'DATA_RESPONDEN'!N106</f>
      </c>
      <c r="L10" s="1">
        <f>'DATA_RESPONDEN'!L147</f>
      </c>
      <c r="M10" s="1">
        <f>'DATA_RESPONDEN'!M147</f>
      </c>
      <c r="N10" s="1">
        <f>'DATA_RESPONDEN'!N147</f>
      </c>
      <c r="O10" s="1">
        <f>'DATA_RESPONDEN'!L188</f>
      </c>
      <c r="P10" s="1">
        <f>'DATA_RESPONDEN'!M188</f>
      </c>
      <c r="Q10" s="1">
        <f>'DATA_RESPONDEN'!N188</f>
      </c>
      <c r="R10" s="1">
        <f>'DATA_RESPONDEN'!L229</f>
      </c>
      <c r="S10" s="1">
        <f>'DATA_RESPONDEN'!M229</f>
      </c>
      <c r="T10" s="1">
        <f>'DATA_RESPONDEN'!N229</f>
      </c>
      <c r="U10" s="1">
        <f>'DATA_RESPONDEN'!L270</f>
      </c>
      <c r="V10" s="1">
        <f>'DATA_RESPONDEN'!M270</f>
      </c>
      <c r="W10" s="1">
        <f>'DATA_RESPONDEN'!N270</f>
      </c>
      <c r="X10" s="1">
        <f>'DATA_RESPONDEN'!L311</f>
      </c>
      <c r="Y10" s="1">
        <f>'DATA_RESPONDEN'!M311</f>
      </c>
      <c r="Z10" s="1">
        <f>'DATA_RESPONDEN'!N311</f>
      </c>
      <c r="AA10" s="1">
        <f>'DATA_RESPONDEN'!L352</f>
      </c>
      <c r="AB10" s="1">
        <f>'DATA_RESPONDEN'!M352</f>
      </c>
      <c r="AC10" s="1">
        <f>'DATA_RESPONDEN'!N352</f>
      </c>
      <c r="AD10" s="1">
        <f>'DATA_RESPONDEN'!L393</f>
      </c>
      <c r="AE10" s="1">
        <f>'DATA_RESPONDEN'!M393</f>
      </c>
      <c r="AF10" s="1">
        <f>'DATA_RESPONDEN'!N393</f>
      </c>
      <c r="AG10" s="1">
        <f>'DATA_RESPONDEN'!L434</f>
      </c>
      <c r="AH10" s="1">
        <f>'DATA_RESPONDEN'!M434</f>
      </c>
      <c r="AI10" s="1">
        <f>'DATA_RESPONDEN'!N434</f>
      </c>
      <c r="AJ10" s="1">
        <f>'DATA_RESPONDEN'!L475</f>
      </c>
      <c r="AK10" s="1">
        <f>'DATA_RESPONDEN'!M475</f>
      </c>
      <c r="AL10" s="1">
        <f>'DATA_RESPONDEN'!N475</f>
      </c>
      <c r="AM10" s="1">
        <f>'DATA_RESPONDEN'!L516</f>
      </c>
      <c r="AN10" s="1">
        <f>'DATA_RESPONDEN'!M516</f>
      </c>
      <c r="AO10" s="1">
        <f>'DATA_RESPONDEN'!N516</f>
      </c>
      <c r="AP10" s="1">
        <f>'DATA_RESPONDEN'!L557</f>
      </c>
      <c r="AQ10" s="1">
        <f>'DATA_RESPONDEN'!M557</f>
      </c>
      <c r="AR10" s="1">
        <f>'DATA_RESPONDEN'!N557</f>
      </c>
      <c r="AS10" s="1">
        <f>'DATA_RESPONDEN'!L598</f>
      </c>
      <c r="AT10" s="1">
        <f>'DATA_RESPONDEN'!M598</f>
      </c>
      <c r="AU10" s="1">
        <f>'DATA_RESPONDEN'!N598</f>
      </c>
      <c r="AV10" s="1">
        <f>'DATA_RESPONDEN'!L639</f>
      </c>
      <c r="AW10" s="1">
        <f>'DATA_RESPONDEN'!M639</f>
      </c>
      <c r="AX10" s="1">
        <f>'DATA_RESPONDEN'!N639</f>
      </c>
      <c r="AY10" s="1">
        <f>'DATA_RESPONDEN'!L680</f>
      </c>
      <c r="AZ10" s="1">
        <f>'DATA_RESPONDEN'!M680</f>
      </c>
      <c r="BA10" s="1">
        <f>'DATA_RESPONDEN'!N680</f>
      </c>
      <c r="BB10" s="1">
        <f>'DATA_RESPONDEN'!L721</f>
      </c>
      <c r="BC10" s="1">
        <f>'DATA_RESPONDEN'!M721</f>
      </c>
      <c r="BD10" s="1">
        <f>'DATA_RESPONDEN'!N721</f>
      </c>
      <c r="BE10" s="1">
        <f>'DATA_RESPONDEN'!L762</f>
      </c>
      <c r="BF10" s="1">
        <f>'DATA_RESPONDEN'!M762</f>
      </c>
      <c r="BG10" s="1">
        <f>'DATA_RESPONDEN'!N762</f>
      </c>
      <c r="BH10" s="1">
        <f>'DATA_RESPONDEN'!L803</f>
      </c>
      <c r="BI10" s="1">
        <f>'DATA_RESPONDEN'!M803</f>
      </c>
      <c r="BJ10" s="1">
        <f>'DATA_RESPONDEN'!N803</f>
      </c>
      <c r="BK10" s="1">
        <f>'DATA_RESPONDEN'!L844</f>
      </c>
      <c r="BL10" s="1">
        <f>'DATA_RESPONDEN'!M844</f>
      </c>
      <c r="BM10" s="1">
        <f>'DATA_RESPONDEN'!N844</f>
      </c>
      <c r="BN10" s="2">
        <f>PRODUCT(C10,F10,I10,L10,O10,R10,U10,X10,AA10,AD10,AG10,AJ10,AM10,AP10,AS10,AV10,AY10,BB10,BE10,BH10,BK10)</f>
      </c>
      <c r="BO10" s="2">
        <f>PRODUCT(D10,G10,J10,M10,P10,S10,V10,Y10,AB10,AE10,AH10,AK10,AN10,AQ10,AT10,AW10,AZ10,BC10,BF10,BI10,BL10)</f>
      </c>
      <c r="BP10" s="2">
        <f>PRODUCT(E10,H10,K10,N10,Q10,T10,W10,Z10,AC10,AF10,AI10,AL10,AO10,AR10,AU10,AX10,BA10,BD10,BG10,BJ10,BM10)</f>
      </c>
      <c r="BQ10" s="1">
        <f>POWER(BN10,1/21)</f>
      </c>
      <c r="BR10" s="1">
        <f>POWER(BO10,1/21)</f>
      </c>
      <c r="BS10" s="1">
        <f>POWER(BP10,1/21)</f>
      </c>
    </row>
    <row r="11">
      <c r="A11">
        <v>5</v>
      </c>
      <c r="B11" t="str">
        <v>CP1_vs_CP6</v>
      </c>
      <c r="C11" s="1">
        <f>'DATA_RESPONDEN'!L25</f>
      </c>
      <c r="D11" s="1">
        <f>'DATA_RESPONDEN'!M25</f>
      </c>
      <c r="E11" s="1">
        <f>'DATA_RESPONDEN'!N25</f>
      </c>
      <c r="F11" s="1">
        <f>'DATA_RESPONDEN'!L66</f>
      </c>
      <c r="G11" s="1">
        <f>'DATA_RESPONDEN'!M66</f>
      </c>
      <c r="H11" s="1">
        <f>'DATA_RESPONDEN'!N66</f>
      </c>
      <c r="I11" s="1">
        <f>'DATA_RESPONDEN'!L107</f>
      </c>
      <c r="J11" s="1">
        <f>'DATA_RESPONDEN'!M107</f>
      </c>
      <c r="K11" s="1">
        <f>'DATA_RESPONDEN'!N107</f>
      </c>
      <c r="L11" s="1">
        <f>'DATA_RESPONDEN'!L148</f>
      </c>
      <c r="M11" s="1">
        <f>'DATA_RESPONDEN'!M148</f>
      </c>
      <c r="N11" s="1">
        <f>'DATA_RESPONDEN'!N148</f>
      </c>
      <c r="O11" s="1">
        <f>'DATA_RESPONDEN'!L189</f>
      </c>
      <c r="P11" s="1">
        <f>'DATA_RESPONDEN'!M189</f>
      </c>
      <c r="Q11" s="1">
        <f>'DATA_RESPONDEN'!N189</f>
      </c>
      <c r="R11" s="1">
        <f>'DATA_RESPONDEN'!L230</f>
      </c>
      <c r="S11" s="1">
        <f>'DATA_RESPONDEN'!M230</f>
      </c>
      <c r="T11" s="1">
        <f>'DATA_RESPONDEN'!N230</f>
      </c>
      <c r="U11" s="1">
        <f>'DATA_RESPONDEN'!L271</f>
      </c>
      <c r="V11" s="1">
        <f>'DATA_RESPONDEN'!M271</f>
      </c>
      <c r="W11" s="1">
        <f>'DATA_RESPONDEN'!N271</f>
      </c>
      <c r="X11" s="1">
        <f>'DATA_RESPONDEN'!L312</f>
      </c>
      <c r="Y11" s="1">
        <f>'DATA_RESPONDEN'!M312</f>
      </c>
      <c r="Z11" s="1">
        <f>'DATA_RESPONDEN'!N312</f>
      </c>
      <c r="AA11" s="1">
        <f>'DATA_RESPONDEN'!L353</f>
      </c>
      <c r="AB11" s="1">
        <f>'DATA_RESPONDEN'!M353</f>
      </c>
      <c r="AC11" s="1">
        <f>'DATA_RESPONDEN'!N353</f>
      </c>
      <c r="AD11" s="1">
        <f>'DATA_RESPONDEN'!L394</f>
      </c>
      <c r="AE11" s="1">
        <f>'DATA_RESPONDEN'!M394</f>
      </c>
      <c r="AF11" s="1">
        <f>'DATA_RESPONDEN'!N394</f>
      </c>
      <c r="AG11" s="1">
        <f>'DATA_RESPONDEN'!L435</f>
      </c>
      <c r="AH11" s="1">
        <f>'DATA_RESPONDEN'!M435</f>
      </c>
      <c r="AI11" s="1">
        <f>'DATA_RESPONDEN'!N435</f>
      </c>
      <c r="AJ11" s="1">
        <f>'DATA_RESPONDEN'!L476</f>
      </c>
      <c r="AK11" s="1">
        <f>'DATA_RESPONDEN'!M476</f>
      </c>
      <c r="AL11" s="1">
        <f>'DATA_RESPONDEN'!N476</f>
      </c>
      <c r="AM11" s="1">
        <f>'DATA_RESPONDEN'!L517</f>
      </c>
      <c r="AN11" s="1">
        <f>'DATA_RESPONDEN'!M517</f>
      </c>
      <c r="AO11" s="1">
        <f>'DATA_RESPONDEN'!N517</f>
      </c>
      <c r="AP11" s="1">
        <f>'DATA_RESPONDEN'!L558</f>
      </c>
      <c r="AQ11" s="1">
        <f>'DATA_RESPONDEN'!M558</f>
      </c>
      <c r="AR11" s="1">
        <f>'DATA_RESPONDEN'!N558</f>
      </c>
      <c r="AS11" s="1">
        <f>'DATA_RESPONDEN'!L599</f>
      </c>
      <c r="AT11" s="1">
        <f>'DATA_RESPONDEN'!M599</f>
      </c>
      <c r="AU11" s="1">
        <f>'DATA_RESPONDEN'!N599</f>
      </c>
      <c r="AV11" s="1">
        <f>'DATA_RESPONDEN'!L640</f>
      </c>
      <c r="AW11" s="1">
        <f>'DATA_RESPONDEN'!M640</f>
      </c>
      <c r="AX11" s="1">
        <f>'DATA_RESPONDEN'!N640</f>
      </c>
      <c r="AY11" s="1">
        <f>'DATA_RESPONDEN'!L681</f>
      </c>
      <c r="AZ11" s="1">
        <f>'DATA_RESPONDEN'!M681</f>
      </c>
      <c r="BA11" s="1">
        <f>'DATA_RESPONDEN'!N681</f>
      </c>
      <c r="BB11" s="1">
        <f>'DATA_RESPONDEN'!L722</f>
      </c>
      <c r="BC11" s="1">
        <f>'DATA_RESPONDEN'!M722</f>
      </c>
      <c r="BD11" s="1">
        <f>'DATA_RESPONDEN'!N722</f>
      </c>
      <c r="BE11" s="1">
        <f>'DATA_RESPONDEN'!L763</f>
      </c>
      <c r="BF11" s="1">
        <f>'DATA_RESPONDEN'!M763</f>
      </c>
      <c r="BG11" s="1">
        <f>'DATA_RESPONDEN'!N763</f>
      </c>
      <c r="BH11" s="1">
        <f>'DATA_RESPONDEN'!L804</f>
      </c>
      <c r="BI11" s="1">
        <f>'DATA_RESPONDEN'!M804</f>
      </c>
      <c r="BJ11" s="1">
        <f>'DATA_RESPONDEN'!N804</f>
      </c>
      <c r="BK11" s="1">
        <f>'DATA_RESPONDEN'!L845</f>
      </c>
      <c r="BL11" s="1">
        <f>'DATA_RESPONDEN'!M845</f>
      </c>
      <c r="BM11" s="1">
        <f>'DATA_RESPONDEN'!N845</f>
      </c>
      <c r="BN11" s="2">
        <f>PRODUCT(C11,F11,I11,L11,O11,R11,U11,X11,AA11,AD11,AG11,AJ11,AM11,AP11,AS11,AV11,AY11,BB11,BE11,BH11,BK11)</f>
      </c>
      <c r="BO11" s="2">
        <f>PRODUCT(D11,G11,J11,M11,P11,S11,V11,Y11,AB11,AE11,AH11,AK11,AN11,AQ11,AT11,AW11,AZ11,BC11,BF11,BI11,BL11)</f>
      </c>
      <c r="BP11" s="2">
        <f>PRODUCT(E11,H11,K11,N11,Q11,T11,W11,Z11,AC11,AF11,AI11,AL11,AO11,AR11,AU11,AX11,BA11,BD11,BG11,BJ11,BM11)</f>
      </c>
      <c r="BQ11" s="1">
        <f>POWER(BN11,1/21)</f>
      </c>
      <c r="BR11" s="1">
        <f>POWER(BO11,1/21)</f>
      </c>
      <c r="BS11" s="1">
        <f>POWER(BP11,1/21)</f>
      </c>
    </row>
    <row r="12">
      <c r="A12">
        <v>6</v>
      </c>
      <c r="B12" t="str">
        <v>CP1_vs_CP7</v>
      </c>
      <c r="C12" s="1">
        <f>'DATA_RESPONDEN'!L26</f>
      </c>
      <c r="D12" s="1">
        <f>'DATA_RESPONDEN'!M26</f>
      </c>
      <c r="E12" s="1">
        <f>'DATA_RESPONDEN'!N26</f>
      </c>
      <c r="F12" s="1">
        <f>'DATA_RESPONDEN'!L67</f>
      </c>
      <c r="G12" s="1">
        <f>'DATA_RESPONDEN'!M67</f>
      </c>
      <c r="H12" s="1">
        <f>'DATA_RESPONDEN'!N67</f>
      </c>
      <c r="I12" s="1">
        <f>'DATA_RESPONDEN'!L108</f>
      </c>
      <c r="J12" s="1">
        <f>'DATA_RESPONDEN'!M108</f>
      </c>
      <c r="K12" s="1">
        <f>'DATA_RESPONDEN'!N108</f>
      </c>
      <c r="L12" s="1">
        <f>'DATA_RESPONDEN'!L149</f>
      </c>
      <c r="M12" s="1">
        <f>'DATA_RESPONDEN'!M149</f>
      </c>
      <c r="N12" s="1">
        <f>'DATA_RESPONDEN'!N149</f>
      </c>
      <c r="O12" s="1">
        <f>'DATA_RESPONDEN'!L190</f>
      </c>
      <c r="P12" s="1">
        <f>'DATA_RESPONDEN'!M190</f>
      </c>
      <c r="Q12" s="1">
        <f>'DATA_RESPONDEN'!N190</f>
      </c>
      <c r="R12" s="1">
        <f>'DATA_RESPONDEN'!L231</f>
      </c>
      <c r="S12" s="1">
        <f>'DATA_RESPONDEN'!M231</f>
      </c>
      <c r="T12" s="1">
        <f>'DATA_RESPONDEN'!N231</f>
      </c>
      <c r="U12" s="1">
        <f>'DATA_RESPONDEN'!L272</f>
      </c>
      <c r="V12" s="1">
        <f>'DATA_RESPONDEN'!M272</f>
      </c>
      <c r="W12" s="1">
        <f>'DATA_RESPONDEN'!N272</f>
      </c>
      <c r="X12" s="1">
        <f>'DATA_RESPONDEN'!L313</f>
      </c>
      <c r="Y12" s="1">
        <f>'DATA_RESPONDEN'!M313</f>
      </c>
      <c r="Z12" s="1">
        <f>'DATA_RESPONDEN'!N313</f>
      </c>
      <c r="AA12" s="1">
        <f>'DATA_RESPONDEN'!L354</f>
      </c>
      <c r="AB12" s="1">
        <f>'DATA_RESPONDEN'!M354</f>
      </c>
      <c r="AC12" s="1">
        <f>'DATA_RESPONDEN'!N354</f>
      </c>
      <c r="AD12" s="1">
        <f>'DATA_RESPONDEN'!L395</f>
      </c>
      <c r="AE12" s="1">
        <f>'DATA_RESPONDEN'!M395</f>
      </c>
      <c r="AF12" s="1">
        <f>'DATA_RESPONDEN'!N395</f>
      </c>
      <c r="AG12" s="1">
        <f>'DATA_RESPONDEN'!L436</f>
      </c>
      <c r="AH12" s="1">
        <f>'DATA_RESPONDEN'!M436</f>
      </c>
      <c r="AI12" s="1">
        <f>'DATA_RESPONDEN'!N436</f>
      </c>
      <c r="AJ12" s="1">
        <f>'DATA_RESPONDEN'!L477</f>
      </c>
      <c r="AK12" s="1">
        <f>'DATA_RESPONDEN'!M477</f>
      </c>
      <c r="AL12" s="1">
        <f>'DATA_RESPONDEN'!N477</f>
      </c>
      <c r="AM12" s="1">
        <f>'DATA_RESPONDEN'!L518</f>
      </c>
      <c r="AN12" s="1">
        <f>'DATA_RESPONDEN'!M518</f>
      </c>
      <c r="AO12" s="1">
        <f>'DATA_RESPONDEN'!N518</f>
      </c>
      <c r="AP12" s="1">
        <f>'DATA_RESPONDEN'!L559</f>
      </c>
      <c r="AQ12" s="1">
        <f>'DATA_RESPONDEN'!M559</f>
      </c>
      <c r="AR12" s="1">
        <f>'DATA_RESPONDEN'!N559</f>
      </c>
      <c r="AS12" s="1">
        <f>'DATA_RESPONDEN'!L600</f>
      </c>
      <c r="AT12" s="1">
        <f>'DATA_RESPONDEN'!M600</f>
      </c>
      <c r="AU12" s="1">
        <f>'DATA_RESPONDEN'!N600</f>
      </c>
      <c r="AV12" s="1">
        <f>'DATA_RESPONDEN'!L641</f>
      </c>
      <c r="AW12" s="1">
        <f>'DATA_RESPONDEN'!M641</f>
      </c>
      <c r="AX12" s="1">
        <f>'DATA_RESPONDEN'!N641</f>
      </c>
      <c r="AY12" s="1">
        <f>'DATA_RESPONDEN'!L682</f>
      </c>
      <c r="AZ12" s="1">
        <f>'DATA_RESPONDEN'!M682</f>
      </c>
      <c r="BA12" s="1">
        <f>'DATA_RESPONDEN'!N682</f>
      </c>
      <c r="BB12" s="1">
        <f>'DATA_RESPONDEN'!L723</f>
      </c>
      <c r="BC12" s="1">
        <f>'DATA_RESPONDEN'!M723</f>
      </c>
      <c r="BD12" s="1">
        <f>'DATA_RESPONDEN'!N723</f>
      </c>
      <c r="BE12" s="1">
        <f>'DATA_RESPONDEN'!L764</f>
      </c>
      <c r="BF12" s="1">
        <f>'DATA_RESPONDEN'!M764</f>
      </c>
      <c r="BG12" s="1">
        <f>'DATA_RESPONDEN'!N764</f>
      </c>
      <c r="BH12" s="1">
        <f>'DATA_RESPONDEN'!L805</f>
      </c>
      <c r="BI12" s="1">
        <f>'DATA_RESPONDEN'!M805</f>
      </c>
      <c r="BJ12" s="1">
        <f>'DATA_RESPONDEN'!N805</f>
      </c>
      <c r="BK12" s="1">
        <f>'DATA_RESPONDEN'!L846</f>
      </c>
      <c r="BL12" s="1">
        <f>'DATA_RESPONDEN'!M846</f>
      </c>
      <c r="BM12" s="1">
        <f>'DATA_RESPONDEN'!N846</f>
      </c>
      <c r="BN12" s="2">
        <f>PRODUCT(C12,F12,I12,L12,O12,R12,U12,X12,AA12,AD12,AG12,AJ12,AM12,AP12,AS12,AV12,AY12,BB12,BE12,BH12,BK12)</f>
      </c>
      <c r="BO12" s="2">
        <f>PRODUCT(D12,G12,J12,M12,P12,S12,V12,Y12,AB12,AE12,AH12,AK12,AN12,AQ12,AT12,AW12,AZ12,BC12,BF12,BI12,BL12)</f>
      </c>
      <c r="BP12" s="2">
        <f>PRODUCT(E12,H12,K12,N12,Q12,T12,W12,Z12,AC12,AF12,AI12,AL12,AO12,AR12,AU12,AX12,BA12,BD12,BG12,BJ12,BM12)</f>
      </c>
      <c r="BQ12" s="1">
        <f>POWER(BN12,1/21)</f>
      </c>
      <c r="BR12" s="1">
        <f>POWER(BO12,1/21)</f>
      </c>
      <c r="BS12" s="1">
        <f>POWER(BP12,1/21)</f>
      </c>
    </row>
    <row r="13">
      <c r="A13">
        <v>7</v>
      </c>
      <c r="B13" t="str">
        <v>CP1_vs_CP8</v>
      </c>
      <c r="C13" s="1">
        <f>'DATA_RESPONDEN'!L27</f>
      </c>
      <c r="D13" s="1">
        <f>'DATA_RESPONDEN'!M27</f>
      </c>
      <c r="E13" s="1">
        <f>'DATA_RESPONDEN'!N27</f>
      </c>
      <c r="F13" s="1">
        <f>'DATA_RESPONDEN'!L68</f>
      </c>
      <c r="G13" s="1">
        <f>'DATA_RESPONDEN'!M68</f>
      </c>
      <c r="H13" s="1">
        <f>'DATA_RESPONDEN'!N68</f>
      </c>
      <c r="I13" s="1">
        <f>'DATA_RESPONDEN'!L109</f>
      </c>
      <c r="J13" s="1">
        <f>'DATA_RESPONDEN'!M109</f>
      </c>
      <c r="K13" s="1">
        <f>'DATA_RESPONDEN'!N109</f>
      </c>
      <c r="L13" s="1">
        <f>'DATA_RESPONDEN'!L150</f>
      </c>
      <c r="M13" s="1">
        <f>'DATA_RESPONDEN'!M150</f>
      </c>
      <c r="N13" s="1">
        <f>'DATA_RESPONDEN'!N150</f>
      </c>
      <c r="O13" s="1">
        <f>'DATA_RESPONDEN'!L191</f>
      </c>
      <c r="P13" s="1">
        <f>'DATA_RESPONDEN'!M191</f>
      </c>
      <c r="Q13" s="1">
        <f>'DATA_RESPONDEN'!N191</f>
      </c>
      <c r="R13" s="1">
        <f>'DATA_RESPONDEN'!L232</f>
      </c>
      <c r="S13" s="1">
        <f>'DATA_RESPONDEN'!M232</f>
      </c>
      <c r="T13" s="1">
        <f>'DATA_RESPONDEN'!N232</f>
      </c>
      <c r="U13" s="1">
        <f>'DATA_RESPONDEN'!L273</f>
      </c>
      <c r="V13" s="1">
        <f>'DATA_RESPONDEN'!M273</f>
      </c>
      <c r="W13" s="1">
        <f>'DATA_RESPONDEN'!N273</f>
      </c>
      <c r="X13" s="1">
        <f>'DATA_RESPONDEN'!L314</f>
      </c>
      <c r="Y13" s="1">
        <f>'DATA_RESPONDEN'!M314</f>
      </c>
      <c r="Z13" s="1">
        <f>'DATA_RESPONDEN'!N314</f>
      </c>
      <c r="AA13" s="1">
        <f>'DATA_RESPONDEN'!L355</f>
      </c>
      <c r="AB13" s="1">
        <f>'DATA_RESPONDEN'!M355</f>
      </c>
      <c r="AC13" s="1">
        <f>'DATA_RESPONDEN'!N355</f>
      </c>
      <c r="AD13" s="1">
        <f>'DATA_RESPONDEN'!L396</f>
      </c>
      <c r="AE13" s="1">
        <f>'DATA_RESPONDEN'!M396</f>
      </c>
      <c r="AF13" s="1">
        <f>'DATA_RESPONDEN'!N396</f>
      </c>
      <c r="AG13" s="1">
        <f>'DATA_RESPONDEN'!L437</f>
      </c>
      <c r="AH13" s="1">
        <f>'DATA_RESPONDEN'!M437</f>
      </c>
      <c r="AI13" s="1">
        <f>'DATA_RESPONDEN'!N437</f>
      </c>
      <c r="AJ13" s="1">
        <f>'DATA_RESPONDEN'!L478</f>
      </c>
      <c r="AK13" s="1">
        <f>'DATA_RESPONDEN'!M478</f>
      </c>
      <c r="AL13" s="1">
        <f>'DATA_RESPONDEN'!N478</f>
      </c>
      <c r="AM13" s="1">
        <f>'DATA_RESPONDEN'!L519</f>
      </c>
      <c r="AN13" s="1">
        <f>'DATA_RESPONDEN'!M519</f>
      </c>
      <c r="AO13" s="1">
        <f>'DATA_RESPONDEN'!N519</f>
      </c>
      <c r="AP13" s="1">
        <f>'DATA_RESPONDEN'!L560</f>
      </c>
      <c r="AQ13" s="1">
        <f>'DATA_RESPONDEN'!M560</f>
      </c>
      <c r="AR13" s="1">
        <f>'DATA_RESPONDEN'!N560</f>
      </c>
      <c r="AS13" s="1">
        <f>'DATA_RESPONDEN'!L601</f>
      </c>
      <c r="AT13" s="1">
        <f>'DATA_RESPONDEN'!M601</f>
      </c>
      <c r="AU13" s="1">
        <f>'DATA_RESPONDEN'!N601</f>
      </c>
      <c r="AV13" s="1">
        <f>'DATA_RESPONDEN'!L642</f>
      </c>
      <c r="AW13" s="1">
        <f>'DATA_RESPONDEN'!M642</f>
      </c>
      <c r="AX13" s="1">
        <f>'DATA_RESPONDEN'!N642</f>
      </c>
      <c r="AY13" s="1">
        <f>'DATA_RESPONDEN'!L683</f>
      </c>
      <c r="AZ13" s="1">
        <f>'DATA_RESPONDEN'!M683</f>
      </c>
      <c r="BA13" s="1">
        <f>'DATA_RESPONDEN'!N683</f>
      </c>
      <c r="BB13" s="1">
        <f>'DATA_RESPONDEN'!L724</f>
      </c>
      <c r="BC13" s="1">
        <f>'DATA_RESPONDEN'!M724</f>
      </c>
      <c r="BD13" s="1">
        <f>'DATA_RESPONDEN'!N724</f>
      </c>
      <c r="BE13" s="1">
        <f>'DATA_RESPONDEN'!L765</f>
      </c>
      <c r="BF13" s="1">
        <f>'DATA_RESPONDEN'!M765</f>
      </c>
      <c r="BG13" s="1">
        <f>'DATA_RESPONDEN'!N765</f>
      </c>
      <c r="BH13" s="1">
        <f>'DATA_RESPONDEN'!L806</f>
      </c>
      <c r="BI13" s="1">
        <f>'DATA_RESPONDEN'!M806</f>
      </c>
      <c r="BJ13" s="1">
        <f>'DATA_RESPONDEN'!N806</f>
      </c>
      <c r="BK13" s="1">
        <f>'DATA_RESPONDEN'!L847</f>
      </c>
      <c r="BL13" s="1">
        <f>'DATA_RESPONDEN'!M847</f>
      </c>
      <c r="BM13" s="1">
        <f>'DATA_RESPONDEN'!N847</f>
      </c>
      <c r="BN13" s="2">
        <f>PRODUCT(C13,F13,I13,L13,O13,R13,U13,X13,AA13,AD13,AG13,AJ13,AM13,AP13,AS13,AV13,AY13,BB13,BE13,BH13,BK13)</f>
      </c>
      <c r="BO13" s="2">
        <f>PRODUCT(D13,G13,J13,M13,P13,S13,V13,Y13,AB13,AE13,AH13,AK13,AN13,AQ13,AT13,AW13,AZ13,BC13,BF13,BI13,BL13)</f>
      </c>
      <c r="BP13" s="2">
        <f>PRODUCT(E13,H13,K13,N13,Q13,T13,W13,Z13,AC13,AF13,AI13,AL13,AO13,AR13,AU13,AX13,BA13,BD13,BG13,BJ13,BM13)</f>
      </c>
      <c r="BQ13" s="1">
        <f>POWER(BN13,1/21)</f>
      </c>
      <c r="BR13" s="1">
        <f>POWER(BO13,1/21)</f>
      </c>
      <c r="BS13" s="1">
        <f>POWER(BP13,1/21)</f>
      </c>
    </row>
    <row r="14">
      <c r="A14">
        <v>8</v>
      </c>
      <c r="B14" t="str">
        <v>CP1_vs_CP9</v>
      </c>
      <c r="C14" s="1">
        <f>'DATA_RESPONDEN'!L28</f>
      </c>
      <c r="D14" s="1">
        <f>'DATA_RESPONDEN'!M28</f>
      </c>
      <c r="E14" s="1">
        <f>'DATA_RESPONDEN'!N28</f>
      </c>
      <c r="F14" s="1">
        <f>'DATA_RESPONDEN'!L69</f>
      </c>
      <c r="G14" s="1">
        <f>'DATA_RESPONDEN'!M69</f>
      </c>
      <c r="H14" s="1">
        <f>'DATA_RESPONDEN'!N69</f>
      </c>
      <c r="I14" s="1">
        <f>'DATA_RESPONDEN'!L110</f>
      </c>
      <c r="J14" s="1">
        <f>'DATA_RESPONDEN'!M110</f>
      </c>
      <c r="K14" s="1">
        <f>'DATA_RESPONDEN'!N110</f>
      </c>
      <c r="L14" s="1">
        <f>'DATA_RESPONDEN'!L151</f>
      </c>
      <c r="M14" s="1">
        <f>'DATA_RESPONDEN'!M151</f>
      </c>
      <c r="N14" s="1">
        <f>'DATA_RESPONDEN'!N151</f>
      </c>
      <c r="O14" s="1">
        <f>'DATA_RESPONDEN'!L192</f>
      </c>
      <c r="P14" s="1">
        <f>'DATA_RESPONDEN'!M192</f>
      </c>
      <c r="Q14" s="1">
        <f>'DATA_RESPONDEN'!N192</f>
      </c>
      <c r="R14" s="1">
        <f>'DATA_RESPONDEN'!L233</f>
      </c>
      <c r="S14" s="1">
        <f>'DATA_RESPONDEN'!M233</f>
      </c>
      <c r="T14" s="1">
        <f>'DATA_RESPONDEN'!N233</f>
      </c>
      <c r="U14" s="1">
        <f>'DATA_RESPONDEN'!L274</f>
      </c>
      <c r="V14" s="1">
        <f>'DATA_RESPONDEN'!M274</f>
      </c>
      <c r="W14" s="1">
        <f>'DATA_RESPONDEN'!N274</f>
      </c>
      <c r="X14" s="1">
        <f>'DATA_RESPONDEN'!L315</f>
      </c>
      <c r="Y14" s="1">
        <f>'DATA_RESPONDEN'!M315</f>
      </c>
      <c r="Z14" s="1">
        <f>'DATA_RESPONDEN'!N315</f>
      </c>
      <c r="AA14" s="1">
        <f>'DATA_RESPONDEN'!L356</f>
      </c>
      <c r="AB14" s="1">
        <f>'DATA_RESPONDEN'!M356</f>
      </c>
      <c r="AC14" s="1">
        <f>'DATA_RESPONDEN'!N356</f>
      </c>
      <c r="AD14" s="1">
        <f>'DATA_RESPONDEN'!L397</f>
      </c>
      <c r="AE14" s="1">
        <f>'DATA_RESPONDEN'!M397</f>
      </c>
      <c r="AF14" s="1">
        <f>'DATA_RESPONDEN'!N397</f>
      </c>
      <c r="AG14" s="1">
        <f>'DATA_RESPONDEN'!L438</f>
      </c>
      <c r="AH14" s="1">
        <f>'DATA_RESPONDEN'!M438</f>
      </c>
      <c r="AI14" s="1">
        <f>'DATA_RESPONDEN'!N438</f>
      </c>
      <c r="AJ14" s="1">
        <f>'DATA_RESPONDEN'!L479</f>
      </c>
      <c r="AK14" s="1">
        <f>'DATA_RESPONDEN'!M479</f>
      </c>
      <c r="AL14" s="1">
        <f>'DATA_RESPONDEN'!N479</f>
      </c>
      <c r="AM14" s="1">
        <f>'DATA_RESPONDEN'!L520</f>
      </c>
      <c r="AN14" s="1">
        <f>'DATA_RESPONDEN'!M520</f>
      </c>
      <c r="AO14" s="1">
        <f>'DATA_RESPONDEN'!N520</f>
      </c>
      <c r="AP14" s="1">
        <f>'DATA_RESPONDEN'!L561</f>
      </c>
      <c r="AQ14" s="1">
        <f>'DATA_RESPONDEN'!M561</f>
      </c>
      <c r="AR14" s="1">
        <f>'DATA_RESPONDEN'!N561</f>
      </c>
      <c r="AS14" s="1">
        <f>'DATA_RESPONDEN'!L602</f>
      </c>
      <c r="AT14" s="1">
        <f>'DATA_RESPONDEN'!M602</f>
      </c>
      <c r="AU14" s="1">
        <f>'DATA_RESPONDEN'!N602</f>
      </c>
      <c r="AV14" s="1">
        <f>'DATA_RESPONDEN'!L643</f>
      </c>
      <c r="AW14" s="1">
        <f>'DATA_RESPONDEN'!M643</f>
      </c>
      <c r="AX14" s="1">
        <f>'DATA_RESPONDEN'!N643</f>
      </c>
      <c r="AY14" s="1">
        <f>'DATA_RESPONDEN'!L684</f>
      </c>
      <c r="AZ14" s="1">
        <f>'DATA_RESPONDEN'!M684</f>
      </c>
      <c r="BA14" s="1">
        <f>'DATA_RESPONDEN'!N684</f>
      </c>
      <c r="BB14" s="1">
        <f>'DATA_RESPONDEN'!L725</f>
      </c>
      <c r="BC14" s="1">
        <f>'DATA_RESPONDEN'!M725</f>
      </c>
      <c r="BD14" s="1">
        <f>'DATA_RESPONDEN'!N725</f>
      </c>
      <c r="BE14" s="1">
        <f>'DATA_RESPONDEN'!L766</f>
      </c>
      <c r="BF14" s="1">
        <f>'DATA_RESPONDEN'!M766</f>
      </c>
      <c r="BG14" s="1">
        <f>'DATA_RESPONDEN'!N766</f>
      </c>
      <c r="BH14" s="1">
        <f>'DATA_RESPONDEN'!L807</f>
      </c>
      <c r="BI14" s="1">
        <f>'DATA_RESPONDEN'!M807</f>
      </c>
      <c r="BJ14" s="1">
        <f>'DATA_RESPONDEN'!N807</f>
      </c>
      <c r="BK14" s="1">
        <f>'DATA_RESPONDEN'!L848</f>
      </c>
      <c r="BL14" s="1">
        <f>'DATA_RESPONDEN'!M848</f>
      </c>
      <c r="BM14" s="1">
        <f>'DATA_RESPONDEN'!N848</f>
      </c>
      <c r="BN14" s="2">
        <f>PRODUCT(C14,F14,I14,L14,O14,R14,U14,X14,AA14,AD14,AG14,AJ14,AM14,AP14,AS14,AV14,AY14,BB14,BE14,BH14,BK14)</f>
      </c>
      <c r="BO14" s="2">
        <f>PRODUCT(D14,G14,J14,M14,P14,S14,V14,Y14,AB14,AE14,AH14,AK14,AN14,AQ14,AT14,AW14,AZ14,BC14,BF14,BI14,BL14)</f>
      </c>
      <c r="BP14" s="2">
        <f>PRODUCT(E14,H14,K14,N14,Q14,T14,W14,Z14,AC14,AF14,AI14,AL14,AO14,AR14,AU14,AX14,BA14,BD14,BG14,BJ14,BM14)</f>
      </c>
      <c r="BQ14" s="1">
        <f>POWER(BN14,1/21)</f>
      </c>
      <c r="BR14" s="1">
        <f>POWER(BO14,1/21)</f>
      </c>
      <c r="BS14" s="1">
        <f>POWER(BP14,1/21)</f>
      </c>
    </row>
    <row r="15">
      <c r="A15">
        <v>9</v>
      </c>
      <c r="B15" t="str">
        <v>CP2_vs_CP3</v>
      </c>
      <c r="C15" s="1">
        <f>'DATA_RESPONDEN'!L29</f>
      </c>
      <c r="D15" s="1">
        <f>'DATA_RESPONDEN'!M29</f>
      </c>
      <c r="E15" s="1">
        <f>'DATA_RESPONDEN'!N29</f>
      </c>
      <c r="F15" s="1">
        <f>'DATA_RESPONDEN'!L70</f>
      </c>
      <c r="G15" s="1">
        <f>'DATA_RESPONDEN'!M70</f>
      </c>
      <c r="H15" s="1">
        <f>'DATA_RESPONDEN'!N70</f>
      </c>
      <c r="I15" s="1">
        <f>'DATA_RESPONDEN'!L111</f>
      </c>
      <c r="J15" s="1">
        <f>'DATA_RESPONDEN'!M111</f>
      </c>
      <c r="K15" s="1">
        <f>'DATA_RESPONDEN'!N111</f>
      </c>
      <c r="L15" s="1">
        <f>'DATA_RESPONDEN'!L152</f>
      </c>
      <c r="M15" s="1">
        <f>'DATA_RESPONDEN'!M152</f>
      </c>
      <c r="N15" s="1">
        <f>'DATA_RESPONDEN'!N152</f>
      </c>
      <c r="O15" s="1">
        <f>'DATA_RESPONDEN'!L193</f>
      </c>
      <c r="P15" s="1">
        <f>'DATA_RESPONDEN'!M193</f>
      </c>
      <c r="Q15" s="1">
        <f>'DATA_RESPONDEN'!N193</f>
      </c>
      <c r="R15" s="1">
        <f>'DATA_RESPONDEN'!L234</f>
      </c>
      <c r="S15" s="1">
        <f>'DATA_RESPONDEN'!M234</f>
      </c>
      <c r="T15" s="1">
        <f>'DATA_RESPONDEN'!N234</f>
      </c>
      <c r="U15" s="1">
        <f>'DATA_RESPONDEN'!L275</f>
      </c>
      <c r="V15" s="1">
        <f>'DATA_RESPONDEN'!M275</f>
      </c>
      <c r="W15" s="1">
        <f>'DATA_RESPONDEN'!N275</f>
      </c>
      <c r="X15" s="1">
        <f>'DATA_RESPONDEN'!L316</f>
      </c>
      <c r="Y15" s="1">
        <f>'DATA_RESPONDEN'!M316</f>
      </c>
      <c r="Z15" s="1">
        <f>'DATA_RESPONDEN'!N316</f>
      </c>
      <c r="AA15" s="1">
        <f>'DATA_RESPONDEN'!L357</f>
      </c>
      <c r="AB15" s="1">
        <f>'DATA_RESPONDEN'!M357</f>
      </c>
      <c r="AC15" s="1">
        <f>'DATA_RESPONDEN'!N357</f>
      </c>
      <c r="AD15" s="1">
        <f>'DATA_RESPONDEN'!L398</f>
      </c>
      <c r="AE15" s="1">
        <f>'DATA_RESPONDEN'!M398</f>
      </c>
      <c r="AF15" s="1">
        <f>'DATA_RESPONDEN'!N398</f>
      </c>
      <c r="AG15" s="1">
        <f>'DATA_RESPONDEN'!L439</f>
      </c>
      <c r="AH15" s="1">
        <f>'DATA_RESPONDEN'!M439</f>
      </c>
      <c r="AI15" s="1">
        <f>'DATA_RESPONDEN'!N439</f>
      </c>
      <c r="AJ15" s="1">
        <f>'DATA_RESPONDEN'!L480</f>
      </c>
      <c r="AK15" s="1">
        <f>'DATA_RESPONDEN'!M480</f>
      </c>
      <c r="AL15" s="1">
        <f>'DATA_RESPONDEN'!N480</f>
      </c>
      <c r="AM15" s="1">
        <f>'DATA_RESPONDEN'!L521</f>
      </c>
      <c r="AN15" s="1">
        <f>'DATA_RESPONDEN'!M521</f>
      </c>
      <c r="AO15" s="1">
        <f>'DATA_RESPONDEN'!N521</f>
      </c>
      <c r="AP15" s="1">
        <f>'DATA_RESPONDEN'!L562</f>
      </c>
      <c r="AQ15" s="1">
        <f>'DATA_RESPONDEN'!M562</f>
      </c>
      <c r="AR15" s="1">
        <f>'DATA_RESPONDEN'!N562</f>
      </c>
      <c r="AS15" s="1">
        <f>'DATA_RESPONDEN'!L603</f>
      </c>
      <c r="AT15" s="1">
        <f>'DATA_RESPONDEN'!M603</f>
      </c>
      <c r="AU15" s="1">
        <f>'DATA_RESPONDEN'!N603</f>
      </c>
      <c r="AV15" s="1">
        <f>'DATA_RESPONDEN'!L644</f>
      </c>
      <c r="AW15" s="1">
        <f>'DATA_RESPONDEN'!M644</f>
      </c>
      <c r="AX15" s="1">
        <f>'DATA_RESPONDEN'!N644</f>
      </c>
      <c r="AY15" s="1">
        <f>'DATA_RESPONDEN'!L685</f>
      </c>
      <c r="AZ15" s="1">
        <f>'DATA_RESPONDEN'!M685</f>
      </c>
      <c r="BA15" s="1">
        <f>'DATA_RESPONDEN'!N685</f>
      </c>
      <c r="BB15" s="1">
        <f>'DATA_RESPONDEN'!L726</f>
      </c>
      <c r="BC15" s="1">
        <f>'DATA_RESPONDEN'!M726</f>
      </c>
      <c r="BD15" s="1">
        <f>'DATA_RESPONDEN'!N726</f>
      </c>
      <c r="BE15" s="1">
        <f>'DATA_RESPONDEN'!L767</f>
      </c>
      <c r="BF15" s="1">
        <f>'DATA_RESPONDEN'!M767</f>
      </c>
      <c r="BG15" s="1">
        <f>'DATA_RESPONDEN'!N767</f>
      </c>
      <c r="BH15" s="1">
        <f>'DATA_RESPONDEN'!L808</f>
      </c>
      <c r="BI15" s="1">
        <f>'DATA_RESPONDEN'!M808</f>
      </c>
      <c r="BJ15" s="1">
        <f>'DATA_RESPONDEN'!N808</f>
      </c>
      <c r="BK15" s="1">
        <f>'DATA_RESPONDEN'!L849</f>
      </c>
      <c r="BL15" s="1">
        <f>'DATA_RESPONDEN'!M849</f>
      </c>
      <c r="BM15" s="1">
        <f>'DATA_RESPONDEN'!N849</f>
      </c>
      <c r="BN15" s="2">
        <f>PRODUCT(C15,F15,I15,L15,O15,R15,U15,X15,AA15,AD15,AG15,AJ15,AM15,AP15,AS15,AV15,AY15,BB15,BE15,BH15,BK15)</f>
      </c>
      <c r="BO15" s="2">
        <f>PRODUCT(D15,G15,J15,M15,P15,S15,V15,Y15,AB15,AE15,AH15,AK15,AN15,AQ15,AT15,AW15,AZ15,BC15,BF15,BI15,BL15)</f>
      </c>
      <c r="BP15" s="2">
        <f>PRODUCT(E15,H15,K15,N15,Q15,T15,W15,Z15,AC15,AF15,AI15,AL15,AO15,AR15,AU15,AX15,BA15,BD15,BG15,BJ15,BM15)</f>
      </c>
      <c r="BQ15" s="1">
        <f>POWER(BN15,1/21)</f>
      </c>
      <c r="BR15" s="1">
        <f>POWER(BO15,1/21)</f>
      </c>
      <c r="BS15" s="1">
        <f>POWER(BP15,1/21)</f>
      </c>
    </row>
    <row r="16">
      <c r="A16">
        <v>10</v>
      </c>
      <c r="B16" t="str">
        <v>CP2_vs_CP4</v>
      </c>
      <c r="C16" s="1">
        <f>'DATA_RESPONDEN'!L30</f>
      </c>
      <c r="D16" s="1">
        <f>'DATA_RESPONDEN'!M30</f>
      </c>
      <c r="E16" s="1">
        <f>'DATA_RESPONDEN'!N30</f>
      </c>
      <c r="F16" s="1">
        <f>'DATA_RESPONDEN'!L71</f>
      </c>
      <c r="G16" s="1">
        <f>'DATA_RESPONDEN'!M71</f>
      </c>
      <c r="H16" s="1">
        <f>'DATA_RESPONDEN'!N71</f>
      </c>
      <c r="I16" s="1">
        <f>'DATA_RESPONDEN'!L112</f>
      </c>
      <c r="J16" s="1">
        <f>'DATA_RESPONDEN'!M112</f>
      </c>
      <c r="K16" s="1">
        <f>'DATA_RESPONDEN'!N112</f>
      </c>
      <c r="L16" s="1">
        <f>'DATA_RESPONDEN'!L153</f>
      </c>
      <c r="M16" s="1">
        <f>'DATA_RESPONDEN'!M153</f>
      </c>
      <c r="N16" s="1">
        <f>'DATA_RESPONDEN'!N153</f>
      </c>
      <c r="O16" s="1">
        <f>'DATA_RESPONDEN'!L194</f>
      </c>
      <c r="P16" s="1">
        <f>'DATA_RESPONDEN'!M194</f>
      </c>
      <c r="Q16" s="1">
        <f>'DATA_RESPONDEN'!N194</f>
      </c>
      <c r="R16" s="1">
        <f>'DATA_RESPONDEN'!L235</f>
      </c>
      <c r="S16" s="1">
        <f>'DATA_RESPONDEN'!M235</f>
      </c>
      <c r="T16" s="1">
        <f>'DATA_RESPONDEN'!N235</f>
      </c>
      <c r="U16" s="1">
        <f>'DATA_RESPONDEN'!L276</f>
      </c>
      <c r="V16" s="1">
        <f>'DATA_RESPONDEN'!M276</f>
      </c>
      <c r="W16" s="1">
        <f>'DATA_RESPONDEN'!N276</f>
      </c>
      <c r="X16" s="1">
        <f>'DATA_RESPONDEN'!L317</f>
      </c>
      <c r="Y16" s="1">
        <f>'DATA_RESPONDEN'!M317</f>
      </c>
      <c r="Z16" s="1">
        <f>'DATA_RESPONDEN'!N317</f>
      </c>
      <c r="AA16" s="1">
        <f>'DATA_RESPONDEN'!L358</f>
      </c>
      <c r="AB16" s="1">
        <f>'DATA_RESPONDEN'!M358</f>
      </c>
      <c r="AC16" s="1">
        <f>'DATA_RESPONDEN'!N358</f>
      </c>
      <c r="AD16" s="1">
        <f>'DATA_RESPONDEN'!L399</f>
      </c>
      <c r="AE16" s="1">
        <f>'DATA_RESPONDEN'!M399</f>
      </c>
      <c r="AF16" s="1">
        <f>'DATA_RESPONDEN'!N399</f>
      </c>
      <c r="AG16" s="1">
        <f>'DATA_RESPONDEN'!L440</f>
      </c>
      <c r="AH16" s="1">
        <f>'DATA_RESPONDEN'!M440</f>
      </c>
      <c r="AI16" s="1">
        <f>'DATA_RESPONDEN'!N440</f>
      </c>
      <c r="AJ16" s="1">
        <f>'DATA_RESPONDEN'!L481</f>
      </c>
      <c r="AK16" s="1">
        <f>'DATA_RESPONDEN'!M481</f>
      </c>
      <c r="AL16" s="1">
        <f>'DATA_RESPONDEN'!N481</f>
      </c>
      <c r="AM16" s="1">
        <f>'DATA_RESPONDEN'!L522</f>
      </c>
      <c r="AN16" s="1">
        <f>'DATA_RESPONDEN'!M522</f>
      </c>
      <c r="AO16" s="1">
        <f>'DATA_RESPONDEN'!N522</f>
      </c>
      <c r="AP16" s="1">
        <f>'DATA_RESPONDEN'!L563</f>
      </c>
      <c r="AQ16" s="1">
        <f>'DATA_RESPONDEN'!M563</f>
      </c>
      <c r="AR16" s="1">
        <f>'DATA_RESPONDEN'!N563</f>
      </c>
      <c r="AS16" s="1">
        <f>'DATA_RESPONDEN'!L604</f>
      </c>
      <c r="AT16" s="1">
        <f>'DATA_RESPONDEN'!M604</f>
      </c>
      <c r="AU16" s="1">
        <f>'DATA_RESPONDEN'!N604</f>
      </c>
      <c r="AV16" s="1">
        <f>'DATA_RESPONDEN'!L645</f>
      </c>
      <c r="AW16" s="1">
        <f>'DATA_RESPONDEN'!M645</f>
      </c>
      <c r="AX16" s="1">
        <f>'DATA_RESPONDEN'!N645</f>
      </c>
      <c r="AY16" s="1">
        <f>'DATA_RESPONDEN'!L686</f>
      </c>
      <c r="AZ16" s="1">
        <f>'DATA_RESPONDEN'!M686</f>
      </c>
      <c r="BA16" s="1">
        <f>'DATA_RESPONDEN'!N686</f>
      </c>
      <c r="BB16" s="1">
        <f>'DATA_RESPONDEN'!L727</f>
      </c>
      <c r="BC16" s="1">
        <f>'DATA_RESPONDEN'!M727</f>
      </c>
      <c r="BD16" s="1">
        <f>'DATA_RESPONDEN'!N727</f>
      </c>
      <c r="BE16" s="1">
        <f>'DATA_RESPONDEN'!L768</f>
      </c>
      <c r="BF16" s="1">
        <f>'DATA_RESPONDEN'!M768</f>
      </c>
      <c r="BG16" s="1">
        <f>'DATA_RESPONDEN'!N768</f>
      </c>
      <c r="BH16" s="1">
        <f>'DATA_RESPONDEN'!L809</f>
      </c>
      <c r="BI16" s="1">
        <f>'DATA_RESPONDEN'!M809</f>
      </c>
      <c r="BJ16" s="1">
        <f>'DATA_RESPONDEN'!N809</f>
      </c>
      <c r="BK16" s="1">
        <f>'DATA_RESPONDEN'!L850</f>
      </c>
      <c r="BL16" s="1">
        <f>'DATA_RESPONDEN'!M850</f>
      </c>
      <c r="BM16" s="1">
        <f>'DATA_RESPONDEN'!N850</f>
      </c>
      <c r="BN16" s="2">
        <f>PRODUCT(C16,F16,I16,L16,O16,R16,U16,X16,AA16,AD16,AG16,AJ16,AM16,AP16,AS16,AV16,AY16,BB16,BE16,BH16,BK16)</f>
      </c>
      <c r="BO16" s="2">
        <f>PRODUCT(D16,G16,J16,M16,P16,S16,V16,Y16,AB16,AE16,AH16,AK16,AN16,AQ16,AT16,AW16,AZ16,BC16,BF16,BI16,BL16)</f>
      </c>
      <c r="BP16" s="2">
        <f>PRODUCT(E16,H16,K16,N16,Q16,T16,W16,Z16,AC16,AF16,AI16,AL16,AO16,AR16,AU16,AX16,BA16,BD16,BG16,BJ16,BM16)</f>
      </c>
      <c r="BQ16" s="1">
        <f>POWER(BN16,1/21)</f>
      </c>
      <c r="BR16" s="1">
        <f>POWER(BO16,1/21)</f>
      </c>
      <c r="BS16" s="1">
        <f>POWER(BP16,1/21)</f>
      </c>
    </row>
    <row r="17">
      <c r="A17">
        <v>11</v>
      </c>
      <c r="B17" t="str">
        <v>CP2_vs_CP5</v>
      </c>
      <c r="C17" s="1">
        <f>'DATA_RESPONDEN'!L31</f>
      </c>
      <c r="D17" s="1">
        <f>'DATA_RESPONDEN'!M31</f>
      </c>
      <c r="E17" s="1">
        <f>'DATA_RESPONDEN'!N31</f>
      </c>
      <c r="F17" s="1">
        <f>'DATA_RESPONDEN'!L72</f>
      </c>
      <c r="G17" s="1">
        <f>'DATA_RESPONDEN'!M72</f>
      </c>
      <c r="H17" s="1">
        <f>'DATA_RESPONDEN'!N72</f>
      </c>
      <c r="I17" s="1">
        <f>'DATA_RESPONDEN'!L113</f>
      </c>
      <c r="J17" s="1">
        <f>'DATA_RESPONDEN'!M113</f>
      </c>
      <c r="K17" s="1">
        <f>'DATA_RESPONDEN'!N113</f>
      </c>
      <c r="L17" s="1">
        <f>'DATA_RESPONDEN'!L154</f>
      </c>
      <c r="M17" s="1">
        <f>'DATA_RESPONDEN'!M154</f>
      </c>
      <c r="N17" s="1">
        <f>'DATA_RESPONDEN'!N154</f>
      </c>
      <c r="O17" s="1">
        <f>'DATA_RESPONDEN'!L195</f>
      </c>
      <c r="P17" s="1">
        <f>'DATA_RESPONDEN'!M195</f>
      </c>
      <c r="Q17" s="1">
        <f>'DATA_RESPONDEN'!N195</f>
      </c>
      <c r="R17" s="1">
        <f>'DATA_RESPONDEN'!L236</f>
      </c>
      <c r="S17" s="1">
        <f>'DATA_RESPONDEN'!M236</f>
      </c>
      <c r="T17" s="1">
        <f>'DATA_RESPONDEN'!N236</f>
      </c>
      <c r="U17" s="1">
        <f>'DATA_RESPONDEN'!L277</f>
      </c>
      <c r="V17" s="1">
        <f>'DATA_RESPONDEN'!M277</f>
      </c>
      <c r="W17" s="1">
        <f>'DATA_RESPONDEN'!N277</f>
      </c>
      <c r="X17" s="1">
        <f>'DATA_RESPONDEN'!L318</f>
      </c>
      <c r="Y17" s="1">
        <f>'DATA_RESPONDEN'!M318</f>
      </c>
      <c r="Z17" s="1">
        <f>'DATA_RESPONDEN'!N318</f>
      </c>
      <c r="AA17" s="1">
        <f>'DATA_RESPONDEN'!L359</f>
      </c>
      <c r="AB17" s="1">
        <f>'DATA_RESPONDEN'!M359</f>
      </c>
      <c r="AC17" s="1">
        <f>'DATA_RESPONDEN'!N359</f>
      </c>
      <c r="AD17" s="1">
        <f>'DATA_RESPONDEN'!L400</f>
      </c>
      <c r="AE17" s="1">
        <f>'DATA_RESPONDEN'!M400</f>
      </c>
      <c r="AF17" s="1">
        <f>'DATA_RESPONDEN'!N400</f>
      </c>
      <c r="AG17" s="1">
        <f>'DATA_RESPONDEN'!L441</f>
      </c>
      <c r="AH17" s="1">
        <f>'DATA_RESPONDEN'!M441</f>
      </c>
      <c r="AI17" s="1">
        <f>'DATA_RESPONDEN'!N441</f>
      </c>
      <c r="AJ17" s="1">
        <f>'DATA_RESPONDEN'!L482</f>
      </c>
      <c r="AK17" s="1">
        <f>'DATA_RESPONDEN'!M482</f>
      </c>
      <c r="AL17" s="1">
        <f>'DATA_RESPONDEN'!N482</f>
      </c>
      <c r="AM17" s="1">
        <f>'DATA_RESPONDEN'!L523</f>
      </c>
      <c r="AN17" s="1">
        <f>'DATA_RESPONDEN'!M523</f>
      </c>
      <c r="AO17" s="1">
        <f>'DATA_RESPONDEN'!N523</f>
      </c>
      <c r="AP17" s="1">
        <f>'DATA_RESPONDEN'!L564</f>
      </c>
      <c r="AQ17" s="1">
        <f>'DATA_RESPONDEN'!M564</f>
      </c>
      <c r="AR17" s="1">
        <f>'DATA_RESPONDEN'!N564</f>
      </c>
      <c r="AS17" s="1">
        <f>'DATA_RESPONDEN'!L605</f>
      </c>
      <c r="AT17" s="1">
        <f>'DATA_RESPONDEN'!M605</f>
      </c>
      <c r="AU17" s="1">
        <f>'DATA_RESPONDEN'!N605</f>
      </c>
      <c r="AV17" s="1">
        <f>'DATA_RESPONDEN'!L646</f>
      </c>
      <c r="AW17" s="1">
        <f>'DATA_RESPONDEN'!M646</f>
      </c>
      <c r="AX17" s="1">
        <f>'DATA_RESPONDEN'!N646</f>
      </c>
      <c r="AY17" s="1">
        <f>'DATA_RESPONDEN'!L687</f>
      </c>
      <c r="AZ17" s="1">
        <f>'DATA_RESPONDEN'!M687</f>
      </c>
      <c r="BA17" s="1">
        <f>'DATA_RESPONDEN'!N687</f>
      </c>
      <c r="BB17" s="1">
        <f>'DATA_RESPONDEN'!L728</f>
      </c>
      <c r="BC17" s="1">
        <f>'DATA_RESPONDEN'!M728</f>
      </c>
      <c r="BD17" s="1">
        <f>'DATA_RESPONDEN'!N728</f>
      </c>
      <c r="BE17" s="1">
        <f>'DATA_RESPONDEN'!L769</f>
      </c>
      <c r="BF17" s="1">
        <f>'DATA_RESPONDEN'!M769</f>
      </c>
      <c r="BG17" s="1">
        <f>'DATA_RESPONDEN'!N769</f>
      </c>
      <c r="BH17" s="1">
        <f>'DATA_RESPONDEN'!L810</f>
      </c>
      <c r="BI17" s="1">
        <f>'DATA_RESPONDEN'!M810</f>
      </c>
      <c r="BJ17" s="1">
        <f>'DATA_RESPONDEN'!N810</f>
      </c>
      <c r="BK17" s="1">
        <f>'DATA_RESPONDEN'!L851</f>
      </c>
      <c r="BL17" s="1">
        <f>'DATA_RESPONDEN'!M851</f>
      </c>
      <c r="BM17" s="1">
        <f>'DATA_RESPONDEN'!N851</f>
      </c>
      <c r="BN17" s="2">
        <f>PRODUCT(C17,F17,I17,L17,O17,R17,U17,X17,AA17,AD17,AG17,AJ17,AM17,AP17,AS17,AV17,AY17,BB17,BE17,BH17,BK17)</f>
      </c>
      <c r="BO17" s="2">
        <f>PRODUCT(D17,G17,J17,M17,P17,S17,V17,Y17,AB17,AE17,AH17,AK17,AN17,AQ17,AT17,AW17,AZ17,BC17,BF17,BI17,BL17)</f>
      </c>
      <c r="BP17" s="2">
        <f>PRODUCT(E17,H17,K17,N17,Q17,T17,W17,Z17,AC17,AF17,AI17,AL17,AO17,AR17,AU17,AX17,BA17,BD17,BG17,BJ17,BM17)</f>
      </c>
      <c r="BQ17" s="1">
        <f>POWER(BN17,1/21)</f>
      </c>
      <c r="BR17" s="1">
        <f>POWER(BO17,1/21)</f>
      </c>
      <c r="BS17" s="1">
        <f>POWER(BP17,1/21)</f>
      </c>
    </row>
    <row r="18">
      <c r="A18">
        <v>12</v>
      </c>
      <c r="B18" t="str">
        <v>CP2_vs_CP6</v>
      </c>
      <c r="C18" s="1">
        <f>'DATA_RESPONDEN'!L32</f>
      </c>
      <c r="D18" s="1">
        <f>'DATA_RESPONDEN'!M32</f>
      </c>
      <c r="E18" s="1">
        <f>'DATA_RESPONDEN'!N32</f>
      </c>
      <c r="F18" s="1">
        <f>'DATA_RESPONDEN'!L73</f>
      </c>
      <c r="G18" s="1">
        <f>'DATA_RESPONDEN'!M73</f>
      </c>
      <c r="H18" s="1">
        <f>'DATA_RESPONDEN'!N73</f>
      </c>
      <c r="I18" s="1">
        <f>'DATA_RESPONDEN'!L114</f>
      </c>
      <c r="J18" s="1">
        <f>'DATA_RESPONDEN'!M114</f>
      </c>
      <c r="K18" s="1">
        <f>'DATA_RESPONDEN'!N114</f>
      </c>
      <c r="L18" s="1">
        <f>'DATA_RESPONDEN'!L155</f>
      </c>
      <c r="M18" s="1">
        <f>'DATA_RESPONDEN'!M155</f>
      </c>
      <c r="N18" s="1">
        <f>'DATA_RESPONDEN'!N155</f>
      </c>
      <c r="O18" s="1">
        <f>'DATA_RESPONDEN'!L196</f>
      </c>
      <c r="P18" s="1">
        <f>'DATA_RESPONDEN'!M196</f>
      </c>
      <c r="Q18" s="1">
        <f>'DATA_RESPONDEN'!N196</f>
      </c>
      <c r="R18" s="1">
        <f>'DATA_RESPONDEN'!L237</f>
      </c>
      <c r="S18" s="1">
        <f>'DATA_RESPONDEN'!M237</f>
      </c>
      <c r="T18" s="1">
        <f>'DATA_RESPONDEN'!N237</f>
      </c>
      <c r="U18" s="1">
        <f>'DATA_RESPONDEN'!L278</f>
      </c>
      <c r="V18" s="1">
        <f>'DATA_RESPONDEN'!M278</f>
      </c>
      <c r="W18" s="1">
        <f>'DATA_RESPONDEN'!N278</f>
      </c>
      <c r="X18" s="1">
        <f>'DATA_RESPONDEN'!L319</f>
      </c>
      <c r="Y18" s="1">
        <f>'DATA_RESPONDEN'!M319</f>
      </c>
      <c r="Z18" s="1">
        <f>'DATA_RESPONDEN'!N319</f>
      </c>
      <c r="AA18" s="1">
        <f>'DATA_RESPONDEN'!L360</f>
      </c>
      <c r="AB18" s="1">
        <f>'DATA_RESPONDEN'!M360</f>
      </c>
      <c r="AC18" s="1">
        <f>'DATA_RESPONDEN'!N360</f>
      </c>
      <c r="AD18" s="1">
        <f>'DATA_RESPONDEN'!L401</f>
      </c>
      <c r="AE18" s="1">
        <f>'DATA_RESPONDEN'!M401</f>
      </c>
      <c r="AF18" s="1">
        <f>'DATA_RESPONDEN'!N401</f>
      </c>
      <c r="AG18" s="1">
        <f>'DATA_RESPONDEN'!L442</f>
      </c>
      <c r="AH18" s="1">
        <f>'DATA_RESPONDEN'!M442</f>
      </c>
      <c r="AI18" s="1">
        <f>'DATA_RESPONDEN'!N442</f>
      </c>
      <c r="AJ18" s="1">
        <f>'DATA_RESPONDEN'!L483</f>
      </c>
      <c r="AK18" s="1">
        <f>'DATA_RESPONDEN'!M483</f>
      </c>
      <c r="AL18" s="1">
        <f>'DATA_RESPONDEN'!N483</f>
      </c>
      <c r="AM18" s="1">
        <f>'DATA_RESPONDEN'!L524</f>
      </c>
      <c r="AN18" s="1">
        <f>'DATA_RESPONDEN'!M524</f>
      </c>
      <c r="AO18" s="1">
        <f>'DATA_RESPONDEN'!N524</f>
      </c>
      <c r="AP18" s="1">
        <f>'DATA_RESPONDEN'!L565</f>
      </c>
      <c r="AQ18" s="1">
        <f>'DATA_RESPONDEN'!M565</f>
      </c>
      <c r="AR18" s="1">
        <f>'DATA_RESPONDEN'!N565</f>
      </c>
      <c r="AS18" s="1">
        <f>'DATA_RESPONDEN'!L606</f>
      </c>
      <c r="AT18" s="1">
        <f>'DATA_RESPONDEN'!M606</f>
      </c>
      <c r="AU18" s="1">
        <f>'DATA_RESPONDEN'!N606</f>
      </c>
      <c r="AV18" s="1">
        <f>'DATA_RESPONDEN'!L647</f>
      </c>
      <c r="AW18" s="1">
        <f>'DATA_RESPONDEN'!M647</f>
      </c>
      <c r="AX18" s="1">
        <f>'DATA_RESPONDEN'!N647</f>
      </c>
      <c r="AY18" s="1">
        <f>'DATA_RESPONDEN'!L688</f>
      </c>
      <c r="AZ18" s="1">
        <f>'DATA_RESPONDEN'!M688</f>
      </c>
      <c r="BA18" s="1">
        <f>'DATA_RESPONDEN'!N688</f>
      </c>
      <c r="BB18" s="1">
        <f>'DATA_RESPONDEN'!L729</f>
      </c>
      <c r="BC18" s="1">
        <f>'DATA_RESPONDEN'!M729</f>
      </c>
      <c r="BD18" s="1">
        <f>'DATA_RESPONDEN'!N729</f>
      </c>
      <c r="BE18" s="1">
        <f>'DATA_RESPONDEN'!L770</f>
      </c>
      <c r="BF18" s="1">
        <f>'DATA_RESPONDEN'!M770</f>
      </c>
      <c r="BG18" s="1">
        <f>'DATA_RESPONDEN'!N770</f>
      </c>
      <c r="BH18" s="1">
        <f>'DATA_RESPONDEN'!L811</f>
      </c>
      <c r="BI18" s="1">
        <f>'DATA_RESPONDEN'!M811</f>
      </c>
      <c r="BJ18" s="1">
        <f>'DATA_RESPONDEN'!N811</f>
      </c>
      <c r="BK18" s="1">
        <f>'DATA_RESPONDEN'!L852</f>
      </c>
      <c r="BL18" s="1">
        <f>'DATA_RESPONDEN'!M852</f>
      </c>
      <c r="BM18" s="1">
        <f>'DATA_RESPONDEN'!N852</f>
      </c>
      <c r="BN18" s="2">
        <f>PRODUCT(C18,F18,I18,L18,O18,R18,U18,X18,AA18,AD18,AG18,AJ18,AM18,AP18,AS18,AV18,AY18,BB18,BE18,BH18,BK18)</f>
      </c>
      <c r="BO18" s="2">
        <f>PRODUCT(D18,G18,J18,M18,P18,S18,V18,Y18,AB18,AE18,AH18,AK18,AN18,AQ18,AT18,AW18,AZ18,BC18,BF18,BI18,BL18)</f>
      </c>
      <c r="BP18" s="2">
        <f>PRODUCT(E18,H18,K18,N18,Q18,T18,W18,Z18,AC18,AF18,AI18,AL18,AO18,AR18,AU18,AX18,BA18,BD18,BG18,BJ18,BM18)</f>
      </c>
      <c r="BQ18" s="1">
        <f>POWER(BN18,1/21)</f>
      </c>
      <c r="BR18" s="1">
        <f>POWER(BO18,1/21)</f>
      </c>
      <c r="BS18" s="1">
        <f>POWER(BP18,1/21)</f>
      </c>
    </row>
    <row r="19">
      <c r="A19">
        <v>13</v>
      </c>
      <c r="B19" t="str">
        <v>CP2_vs_CP7</v>
      </c>
      <c r="C19" s="1">
        <f>'DATA_RESPONDEN'!L33</f>
      </c>
      <c r="D19" s="1">
        <f>'DATA_RESPONDEN'!M33</f>
      </c>
      <c r="E19" s="1">
        <f>'DATA_RESPONDEN'!N33</f>
      </c>
      <c r="F19" s="1">
        <f>'DATA_RESPONDEN'!L74</f>
      </c>
      <c r="G19" s="1">
        <f>'DATA_RESPONDEN'!M74</f>
      </c>
      <c r="H19" s="1">
        <f>'DATA_RESPONDEN'!N74</f>
      </c>
      <c r="I19" s="1">
        <f>'DATA_RESPONDEN'!L115</f>
      </c>
      <c r="J19" s="1">
        <f>'DATA_RESPONDEN'!M115</f>
      </c>
      <c r="K19" s="1">
        <f>'DATA_RESPONDEN'!N115</f>
      </c>
      <c r="L19" s="1">
        <f>'DATA_RESPONDEN'!L156</f>
      </c>
      <c r="M19" s="1">
        <f>'DATA_RESPONDEN'!M156</f>
      </c>
      <c r="N19" s="1">
        <f>'DATA_RESPONDEN'!N156</f>
      </c>
      <c r="O19" s="1">
        <f>'DATA_RESPONDEN'!L197</f>
      </c>
      <c r="P19" s="1">
        <f>'DATA_RESPONDEN'!M197</f>
      </c>
      <c r="Q19" s="1">
        <f>'DATA_RESPONDEN'!N197</f>
      </c>
      <c r="R19" s="1">
        <f>'DATA_RESPONDEN'!L238</f>
      </c>
      <c r="S19" s="1">
        <f>'DATA_RESPONDEN'!M238</f>
      </c>
      <c r="T19" s="1">
        <f>'DATA_RESPONDEN'!N238</f>
      </c>
      <c r="U19" s="1">
        <f>'DATA_RESPONDEN'!L279</f>
      </c>
      <c r="V19" s="1">
        <f>'DATA_RESPONDEN'!M279</f>
      </c>
      <c r="W19" s="1">
        <f>'DATA_RESPONDEN'!N279</f>
      </c>
      <c r="X19" s="1">
        <f>'DATA_RESPONDEN'!L320</f>
      </c>
      <c r="Y19" s="1">
        <f>'DATA_RESPONDEN'!M320</f>
      </c>
      <c r="Z19" s="1">
        <f>'DATA_RESPONDEN'!N320</f>
      </c>
      <c r="AA19" s="1">
        <f>'DATA_RESPONDEN'!L361</f>
      </c>
      <c r="AB19" s="1">
        <f>'DATA_RESPONDEN'!M361</f>
      </c>
      <c r="AC19" s="1">
        <f>'DATA_RESPONDEN'!N361</f>
      </c>
      <c r="AD19" s="1">
        <f>'DATA_RESPONDEN'!L402</f>
      </c>
      <c r="AE19" s="1">
        <f>'DATA_RESPONDEN'!M402</f>
      </c>
      <c r="AF19" s="1">
        <f>'DATA_RESPONDEN'!N402</f>
      </c>
      <c r="AG19" s="1">
        <f>'DATA_RESPONDEN'!L443</f>
      </c>
      <c r="AH19" s="1">
        <f>'DATA_RESPONDEN'!M443</f>
      </c>
      <c r="AI19" s="1">
        <f>'DATA_RESPONDEN'!N443</f>
      </c>
      <c r="AJ19" s="1">
        <f>'DATA_RESPONDEN'!L484</f>
      </c>
      <c r="AK19" s="1">
        <f>'DATA_RESPONDEN'!M484</f>
      </c>
      <c r="AL19" s="1">
        <f>'DATA_RESPONDEN'!N484</f>
      </c>
      <c r="AM19" s="1">
        <f>'DATA_RESPONDEN'!L525</f>
      </c>
      <c r="AN19" s="1">
        <f>'DATA_RESPONDEN'!M525</f>
      </c>
      <c r="AO19" s="1">
        <f>'DATA_RESPONDEN'!N525</f>
      </c>
      <c r="AP19" s="1">
        <f>'DATA_RESPONDEN'!L566</f>
      </c>
      <c r="AQ19" s="1">
        <f>'DATA_RESPONDEN'!M566</f>
      </c>
      <c r="AR19" s="1">
        <f>'DATA_RESPONDEN'!N566</f>
      </c>
      <c r="AS19" s="1">
        <f>'DATA_RESPONDEN'!L607</f>
      </c>
      <c r="AT19" s="1">
        <f>'DATA_RESPONDEN'!M607</f>
      </c>
      <c r="AU19" s="1">
        <f>'DATA_RESPONDEN'!N607</f>
      </c>
      <c r="AV19" s="1">
        <f>'DATA_RESPONDEN'!L648</f>
      </c>
      <c r="AW19" s="1">
        <f>'DATA_RESPONDEN'!M648</f>
      </c>
      <c r="AX19" s="1">
        <f>'DATA_RESPONDEN'!N648</f>
      </c>
      <c r="AY19" s="1">
        <f>'DATA_RESPONDEN'!L689</f>
      </c>
      <c r="AZ19" s="1">
        <f>'DATA_RESPONDEN'!M689</f>
      </c>
      <c r="BA19" s="1">
        <f>'DATA_RESPONDEN'!N689</f>
      </c>
      <c r="BB19" s="1">
        <f>'DATA_RESPONDEN'!L730</f>
      </c>
      <c r="BC19" s="1">
        <f>'DATA_RESPONDEN'!M730</f>
      </c>
      <c r="BD19" s="1">
        <f>'DATA_RESPONDEN'!N730</f>
      </c>
      <c r="BE19" s="1">
        <f>'DATA_RESPONDEN'!L771</f>
      </c>
      <c r="BF19" s="1">
        <f>'DATA_RESPONDEN'!M771</f>
      </c>
      <c r="BG19" s="1">
        <f>'DATA_RESPONDEN'!N771</f>
      </c>
      <c r="BH19" s="1">
        <f>'DATA_RESPONDEN'!L812</f>
      </c>
      <c r="BI19" s="1">
        <f>'DATA_RESPONDEN'!M812</f>
      </c>
      <c r="BJ19" s="1">
        <f>'DATA_RESPONDEN'!N812</f>
      </c>
      <c r="BK19" s="1">
        <f>'DATA_RESPONDEN'!L853</f>
      </c>
      <c r="BL19" s="1">
        <f>'DATA_RESPONDEN'!M853</f>
      </c>
      <c r="BM19" s="1">
        <f>'DATA_RESPONDEN'!N853</f>
      </c>
      <c r="BN19" s="2">
        <f>PRODUCT(C19,F19,I19,L19,O19,R19,U19,X19,AA19,AD19,AG19,AJ19,AM19,AP19,AS19,AV19,AY19,BB19,BE19,BH19,BK19)</f>
      </c>
      <c r="BO19" s="2">
        <f>PRODUCT(D19,G19,J19,M19,P19,S19,V19,Y19,AB19,AE19,AH19,AK19,AN19,AQ19,AT19,AW19,AZ19,BC19,BF19,BI19,BL19)</f>
      </c>
      <c r="BP19" s="2">
        <f>PRODUCT(E19,H19,K19,N19,Q19,T19,W19,Z19,AC19,AF19,AI19,AL19,AO19,AR19,AU19,AX19,BA19,BD19,BG19,BJ19,BM19)</f>
      </c>
      <c r="BQ19" s="1">
        <f>POWER(BN19,1/21)</f>
      </c>
      <c r="BR19" s="1">
        <f>POWER(BO19,1/21)</f>
      </c>
      <c r="BS19" s="1">
        <f>POWER(BP19,1/21)</f>
      </c>
    </row>
    <row r="20">
      <c r="A20">
        <v>14</v>
      </c>
      <c r="B20" t="str">
        <v>CP2_vs_CP8</v>
      </c>
      <c r="C20" s="1">
        <f>'DATA_RESPONDEN'!L34</f>
      </c>
      <c r="D20" s="1">
        <f>'DATA_RESPONDEN'!M34</f>
      </c>
      <c r="E20" s="1">
        <f>'DATA_RESPONDEN'!N34</f>
      </c>
      <c r="F20" s="1">
        <f>'DATA_RESPONDEN'!L75</f>
      </c>
      <c r="G20" s="1">
        <f>'DATA_RESPONDEN'!M75</f>
      </c>
      <c r="H20" s="1">
        <f>'DATA_RESPONDEN'!N75</f>
      </c>
      <c r="I20" s="1">
        <f>'DATA_RESPONDEN'!L116</f>
      </c>
      <c r="J20" s="1">
        <f>'DATA_RESPONDEN'!M116</f>
      </c>
      <c r="K20" s="1">
        <f>'DATA_RESPONDEN'!N116</f>
      </c>
      <c r="L20" s="1">
        <f>'DATA_RESPONDEN'!L157</f>
      </c>
      <c r="M20" s="1">
        <f>'DATA_RESPONDEN'!M157</f>
      </c>
      <c r="N20" s="1">
        <f>'DATA_RESPONDEN'!N157</f>
      </c>
      <c r="O20" s="1">
        <f>'DATA_RESPONDEN'!L198</f>
      </c>
      <c r="P20" s="1">
        <f>'DATA_RESPONDEN'!M198</f>
      </c>
      <c r="Q20" s="1">
        <f>'DATA_RESPONDEN'!N198</f>
      </c>
      <c r="R20" s="1">
        <f>'DATA_RESPONDEN'!L239</f>
      </c>
      <c r="S20" s="1">
        <f>'DATA_RESPONDEN'!M239</f>
      </c>
      <c r="T20" s="1">
        <f>'DATA_RESPONDEN'!N239</f>
      </c>
      <c r="U20" s="1">
        <f>'DATA_RESPONDEN'!L280</f>
      </c>
      <c r="V20" s="1">
        <f>'DATA_RESPONDEN'!M280</f>
      </c>
      <c r="W20" s="1">
        <f>'DATA_RESPONDEN'!N280</f>
      </c>
      <c r="X20" s="1">
        <f>'DATA_RESPONDEN'!L321</f>
      </c>
      <c r="Y20" s="1">
        <f>'DATA_RESPONDEN'!M321</f>
      </c>
      <c r="Z20" s="1">
        <f>'DATA_RESPONDEN'!N321</f>
      </c>
      <c r="AA20" s="1">
        <f>'DATA_RESPONDEN'!L362</f>
      </c>
      <c r="AB20" s="1">
        <f>'DATA_RESPONDEN'!M362</f>
      </c>
      <c r="AC20" s="1">
        <f>'DATA_RESPONDEN'!N362</f>
      </c>
      <c r="AD20" s="1">
        <f>'DATA_RESPONDEN'!L403</f>
      </c>
      <c r="AE20" s="1">
        <f>'DATA_RESPONDEN'!M403</f>
      </c>
      <c r="AF20" s="1">
        <f>'DATA_RESPONDEN'!N403</f>
      </c>
      <c r="AG20" s="1">
        <f>'DATA_RESPONDEN'!L444</f>
      </c>
      <c r="AH20" s="1">
        <f>'DATA_RESPONDEN'!M444</f>
      </c>
      <c r="AI20" s="1">
        <f>'DATA_RESPONDEN'!N444</f>
      </c>
      <c r="AJ20" s="1">
        <f>'DATA_RESPONDEN'!L485</f>
      </c>
      <c r="AK20" s="1">
        <f>'DATA_RESPONDEN'!M485</f>
      </c>
      <c r="AL20" s="1">
        <f>'DATA_RESPONDEN'!N485</f>
      </c>
      <c r="AM20" s="1">
        <f>'DATA_RESPONDEN'!L526</f>
      </c>
      <c r="AN20" s="1">
        <f>'DATA_RESPONDEN'!M526</f>
      </c>
      <c r="AO20" s="1">
        <f>'DATA_RESPONDEN'!N526</f>
      </c>
      <c r="AP20" s="1">
        <f>'DATA_RESPONDEN'!L567</f>
      </c>
      <c r="AQ20" s="1">
        <f>'DATA_RESPONDEN'!M567</f>
      </c>
      <c r="AR20" s="1">
        <f>'DATA_RESPONDEN'!N567</f>
      </c>
      <c r="AS20" s="1">
        <f>'DATA_RESPONDEN'!L608</f>
      </c>
      <c r="AT20" s="1">
        <f>'DATA_RESPONDEN'!M608</f>
      </c>
      <c r="AU20" s="1">
        <f>'DATA_RESPONDEN'!N608</f>
      </c>
      <c r="AV20" s="1">
        <f>'DATA_RESPONDEN'!L649</f>
      </c>
      <c r="AW20" s="1">
        <f>'DATA_RESPONDEN'!M649</f>
      </c>
      <c r="AX20" s="1">
        <f>'DATA_RESPONDEN'!N649</f>
      </c>
      <c r="AY20" s="1">
        <f>'DATA_RESPONDEN'!L690</f>
      </c>
      <c r="AZ20" s="1">
        <f>'DATA_RESPONDEN'!M690</f>
      </c>
      <c r="BA20" s="1">
        <f>'DATA_RESPONDEN'!N690</f>
      </c>
      <c r="BB20" s="1">
        <f>'DATA_RESPONDEN'!L731</f>
      </c>
      <c r="BC20" s="1">
        <f>'DATA_RESPONDEN'!M731</f>
      </c>
      <c r="BD20" s="1">
        <f>'DATA_RESPONDEN'!N731</f>
      </c>
      <c r="BE20" s="1">
        <f>'DATA_RESPONDEN'!L772</f>
      </c>
      <c r="BF20" s="1">
        <f>'DATA_RESPONDEN'!M772</f>
      </c>
      <c r="BG20" s="1">
        <f>'DATA_RESPONDEN'!N772</f>
      </c>
      <c r="BH20" s="1">
        <f>'DATA_RESPONDEN'!L813</f>
      </c>
      <c r="BI20" s="1">
        <f>'DATA_RESPONDEN'!M813</f>
      </c>
      <c r="BJ20" s="1">
        <f>'DATA_RESPONDEN'!N813</f>
      </c>
      <c r="BK20" s="1">
        <f>'DATA_RESPONDEN'!L854</f>
      </c>
      <c r="BL20" s="1">
        <f>'DATA_RESPONDEN'!M854</f>
      </c>
      <c r="BM20" s="1">
        <f>'DATA_RESPONDEN'!N854</f>
      </c>
      <c r="BN20" s="2">
        <f>PRODUCT(C20,F20,I20,L20,O20,R20,U20,X20,AA20,AD20,AG20,AJ20,AM20,AP20,AS20,AV20,AY20,BB20,BE20,BH20,BK20)</f>
      </c>
      <c r="BO20" s="2">
        <f>PRODUCT(D20,G20,J20,M20,P20,S20,V20,Y20,AB20,AE20,AH20,AK20,AN20,AQ20,AT20,AW20,AZ20,BC20,BF20,BI20,BL20)</f>
      </c>
      <c r="BP20" s="2">
        <f>PRODUCT(E20,H20,K20,N20,Q20,T20,W20,Z20,AC20,AF20,AI20,AL20,AO20,AR20,AU20,AX20,BA20,BD20,BG20,BJ20,BM20)</f>
      </c>
      <c r="BQ20" s="1">
        <f>POWER(BN20,1/21)</f>
      </c>
      <c r="BR20" s="1">
        <f>POWER(BO20,1/21)</f>
      </c>
      <c r="BS20" s="1">
        <f>POWER(BP20,1/21)</f>
      </c>
    </row>
    <row r="21">
      <c r="A21">
        <v>15</v>
      </c>
      <c r="B21" t="str">
        <v>CP2_vs_CP9</v>
      </c>
      <c r="C21" s="1">
        <f>'DATA_RESPONDEN'!L35</f>
      </c>
      <c r="D21" s="1">
        <f>'DATA_RESPONDEN'!M35</f>
      </c>
      <c r="E21" s="1">
        <f>'DATA_RESPONDEN'!N35</f>
      </c>
      <c r="F21" s="1">
        <f>'DATA_RESPONDEN'!L76</f>
      </c>
      <c r="G21" s="1">
        <f>'DATA_RESPONDEN'!M76</f>
      </c>
      <c r="H21" s="1">
        <f>'DATA_RESPONDEN'!N76</f>
      </c>
      <c r="I21" s="1">
        <f>'DATA_RESPONDEN'!L117</f>
      </c>
      <c r="J21" s="1">
        <f>'DATA_RESPONDEN'!M117</f>
      </c>
      <c r="K21" s="1">
        <f>'DATA_RESPONDEN'!N117</f>
      </c>
      <c r="L21" s="1">
        <f>'DATA_RESPONDEN'!L158</f>
      </c>
      <c r="M21" s="1">
        <f>'DATA_RESPONDEN'!M158</f>
      </c>
      <c r="N21" s="1">
        <f>'DATA_RESPONDEN'!N158</f>
      </c>
      <c r="O21" s="1">
        <f>'DATA_RESPONDEN'!L199</f>
      </c>
      <c r="P21" s="1">
        <f>'DATA_RESPONDEN'!M199</f>
      </c>
      <c r="Q21" s="1">
        <f>'DATA_RESPONDEN'!N199</f>
      </c>
      <c r="R21" s="1">
        <f>'DATA_RESPONDEN'!L240</f>
      </c>
      <c r="S21" s="1">
        <f>'DATA_RESPONDEN'!M240</f>
      </c>
      <c r="T21" s="1">
        <f>'DATA_RESPONDEN'!N240</f>
      </c>
      <c r="U21" s="1">
        <f>'DATA_RESPONDEN'!L281</f>
      </c>
      <c r="V21" s="1">
        <f>'DATA_RESPONDEN'!M281</f>
      </c>
      <c r="W21" s="1">
        <f>'DATA_RESPONDEN'!N281</f>
      </c>
      <c r="X21" s="1">
        <f>'DATA_RESPONDEN'!L322</f>
      </c>
      <c r="Y21" s="1">
        <f>'DATA_RESPONDEN'!M322</f>
      </c>
      <c r="Z21" s="1">
        <f>'DATA_RESPONDEN'!N322</f>
      </c>
      <c r="AA21" s="1">
        <f>'DATA_RESPONDEN'!L363</f>
      </c>
      <c r="AB21" s="1">
        <f>'DATA_RESPONDEN'!M363</f>
      </c>
      <c r="AC21" s="1">
        <f>'DATA_RESPONDEN'!N363</f>
      </c>
      <c r="AD21" s="1">
        <f>'DATA_RESPONDEN'!L404</f>
      </c>
      <c r="AE21" s="1">
        <f>'DATA_RESPONDEN'!M404</f>
      </c>
      <c r="AF21" s="1">
        <f>'DATA_RESPONDEN'!N404</f>
      </c>
      <c r="AG21" s="1">
        <f>'DATA_RESPONDEN'!L445</f>
      </c>
      <c r="AH21" s="1">
        <f>'DATA_RESPONDEN'!M445</f>
      </c>
      <c r="AI21" s="1">
        <f>'DATA_RESPONDEN'!N445</f>
      </c>
      <c r="AJ21" s="1">
        <f>'DATA_RESPONDEN'!L486</f>
      </c>
      <c r="AK21" s="1">
        <f>'DATA_RESPONDEN'!M486</f>
      </c>
      <c r="AL21" s="1">
        <f>'DATA_RESPONDEN'!N486</f>
      </c>
      <c r="AM21" s="1">
        <f>'DATA_RESPONDEN'!L527</f>
      </c>
      <c r="AN21" s="1">
        <f>'DATA_RESPONDEN'!M527</f>
      </c>
      <c r="AO21" s="1">
        <f>'DATA_RESPONDEN'!N527</f>
      </c>
      <c r="AP21" s="1">
        <f>'DATA_RESPONDEN'!L568</f>
      </c>
      <c r="AQ21" s="1">
        <f>'DATA_RESPONDEN'!M568</f>
      </c>
      <c r="AR21" s="1">
        <f>'DATA_RESPONDEN'!N568</f>
      </c>
      <c r="AS21" s="1">
        <f>'DATA_RESPONDEN'!L609</f>
      </c>
      <c r="AT21" s="1">
        <f>'DATA_RESPONDEN'!M609</f>
      </c>
      <c r="AU21" s="1">
        <f>'DATA_RESPONDEN'!N609</f>
      </c>
      <c r="AV21" s="1">
        <f>'DATA_RESPONDEN'!L650</f>
      </c>
      <c r="AW21" s="1">
        <f>'DATA_RESPONDEN'!M650</f>
      </c>
      <c r="AX21" s="1">
        <f>'DATA_RESPONDEN'!N650</f>
      </c>
      <c r="AY21" s="1">
        <f>'DATA_RESPONDEN'!L691</f>
      </c>
      <c r="AZ21" s="1">
        <f>'DATA_RESPONDEN'!M691</f>
      </c>
      <c r="BA21" s="1">
        <f>'DATA_RESPONDEN'!N691</f>
      </c>
      <c r="BB21" s="1">
        <f>'DATA_RESPONDEN'!L732</f>
      </c>
      <c r="BC21" s="1">
        <f>'DATA_RESPONDEN'!M732</f>
      </c>
      <c r="BD21" s="1">
        <f>'DATA_RESPONDEN'!N732</f>
      </c>
      <c r="BE21" s="1">
        <f>'DATA_RESPONDEN'!L773</f>
      </c>
      <c r="BF21" s="1">
        <f>'DATA_RESPONDEN'!M773</f>
      </c>
      <c r="BG21" s="1">
        <f>'DATA_RESPONDEN'!N773</f>
      </c>
      <c r="BH21" s="1">
        <f>'DATA_RESPONDEN'!L814</f>
      </c>
      <c r="BI21" s="1">
        <f>'DATA_RESPONDEN'!M814</f>
      </c>
      <c r="BJ21" s="1">
        <f>'DATA_RESPONDEN'!N814</f>
      </c>
      <c r="BK21" s="1">
        <f>'DATA_RESPONDEN'!L855</f>
      </c>
      <c r="BL21" s="1">
        <f>'DATA_RESPONDEN'!M855</f>
      </c>
      <c r="BM21" s="1">
        <f>'DATA_RESPONDEN'!N855</f>
      </c>
      <c r="BN21" s="2">
        <f>PRODUCT(C21,F21,I21,L21,O21,R21,U21,X21,AA21,AD21,AG21,AJ21,AM21,AP21,AS21,AV21,AY21,BB21,BE21,BH21,BK21)</f>
      </c>
      <c r="BO21" s="2">
        <f>PRODUCT(D21,G21,J21,M21,P21,S21,V21,Y21,AB21,AE21,AH21,AK21,AN21,AQ21,AT21,AW21,AZ21,BC21,BF21,BI21,BL21)</f>
      </c>
      <c r="BP21" s="2">
        <f>PRODUCT(E21,H21,K21,N21,Q21,T21,W21,Z21,AC21,AF21,AI21,AL21,AO21,AR21,AU21,AX21,BA21,BD21,BG21,BJ21,BM21)</f>
      </c>
      <c r="BQ21" s="1">
        <f>POWER(BN21,1/21)</f>
      </c>
      <c r="BR21" s="1">
        <f>POWER(BO21,1/21)</f>
      </c>
      <c r="BS21" s="1">
        <f>POWER(BP21,1/21)</f>
      </c>
    </row>
    <row r="22">
      <c r="A22">
        <v>16</v>
      </c>
      <c r="B22" t="str">
        <v>CP3_vs_CP4</v>
      </c>
      <c r="C22" s="1">
        <f>'DATA_RESPONDEN'!L36</f>
      </c>
      <c r="D22" s="1">
        <f>'DATA_RESPONDEN'!M36</f>
      </c>
      <c r="E22" s="1">
        <f>'DATA_RESPONDEN'!N36</f>
      </c>
      <c r="F22" s="1">
        <f>'DATA_RESPONDEN'!L77</f>
      </c>
      <c r="G22" s="1">
        <f>'DATA_RESPONDEN'!M77</f>
      </c>
      <c r="H22" s="1">
        <f>'DATA_RESPONDEN'!N77</f>
      </c>
      <c r="I22" s="1">
        <f>'DATA_RESPONDEN'!L118</f>
      </c>
      <c r="J22" s="1">
        <f>'DATA_RESPONDEN'!M118</f>
      </c>
      <c r="K22" s="1">
        <f>'DATA_RESPONDEN'!N118</f>
      </c>
      <c r="L22" s="1">
        <f>'DATA_RESPONDEN'!L159</f>
      </c>
      <c r="M22" s="1">
        <f>'DATA_RESPONDEN'!M159</f>
      </c>
      <c r="N22" s="1">
        <f>'DATA_RESPONDEN'!N159</f>
      </c>
      <c r="O22" s="1">
        <f>'DATA_RESPONDEN'!L200</f>
      </c>
      <c r="P22" s="1">
        <f>'DATA_RESPONDEN'!M200</f>
      </c>
      <c r="Q22" s="1">
        <f>'DATA_RESPONDEN'!N200</f>
      </c>
      <c r="R22" s="1">
        <f>'DATA_RESPONDEN'!L241</f>
      </c>
      <c r="S22" s="1">
        <f>'DATA_RESPONDEN'!M241</f>
      </c>
      <c r="T22" s="1">
        <f>'DATA_RESPONDEN'!N241</f>
      </c>
      <c r="U22" s="1">
        <f>'DATA_RESPONDEN'!L282</f>
      </c>
      <c r="V22" s="1">
        <f>'DATA_RESPONDEN'!M282</f>
      </c>
      <c r="W22" s="1">
        <f>'DATA_RESPONDEN'!N282</f>
      </c>
      <c r="X22" s="1">
        <f>'DATA_RESPONDEN'!L323</f>
      </c>
      <c r="Y22" s="1">
        <f>'DATA_RESPONDEN'!M323</f>
      </c>
      <c r="Z22" s="1">
        <f>'DATA_RESPONDEN'!N323</f>
      </c>
      <c r="AA22" s="1">
        <f>'DATA_RESPONDEN'!L364</f>
      </c>
      <c r="AB22" s="1">
        <f>'DATA_RESPONDEN'!M364</f>
      </c>
      <c r="AC22" s="1">
        <f>'DATA_RESPONDEN'!N364</f>
      </c>
      <c r="AD22" s="1">
        <f>'DATA_RESPONDEN'!L405</f>
      </c>
      <c r="AE22" s="1">
        <f>'DATA_RESPONDEN'!M405</f>
      </c>
      <c r="AF22" s="1">
        <f>'DATA_RESPONDEN'!N405</f>
      </c>
      <c r="AG22" s="1">
        <f>'DATA_RESPONDEN'!L446</f>
      </c>
      <c r="AH22" s="1">
        <f>'DATA_RESPONDEN'!M446</f>
      </c>
      <c r="AI22" s="1">
        <f>'DATA_RESPONDEN'!N446</f>
      </c>
      <c r="AJ22" s="1">
        <f>'DATA_RESPONDEN'!L487</f>
      </c>
      <c r="AK22" s="1">
        <f>'DATA_RESPONDEN'!M487</f>
      </c>
      <c r="AL22" s="1">
        <f>'DATA_RESPONDEN'!N487</f>
      </c>
      <c r="AM22" s="1">
        <f>'DATA_RESPONDEN'!L528</f>
      </c>
      <c r="AN22" s="1">
        <f>'DATA_RESPONDEN'!M528</f>
      </c>
      <c r="AO22" s="1">
        <f>'DATA_RESPONDEN'!N528</f>
      </c>
      <c r="AP22" s="1">
        <f>'DATA_RESPONDEN'!L569</f>
      </c>
      <c r="AQ22" s="1">
        <f>'DATA_RESPONDEN'!M569</f>
      </c>
      <c r="AR22" s="1">
        <f>'DATA_RESPONDEN'!N569</f>
      </c>
      <c r="AS22" s="1">
        <f>'DATA_RESPONDEN'!L610</f>
      </c>
      <c r="AT22" s="1">
        <f>'DATA_RESPONDEN'!M610</f>
      </c>
      <c r="AU22" s="1">
        <f>'DATA_RESPONDEN'!N610</f>
      </c>
      <c r="AV22" s="1">
        <f>'DATA_RESPONDEN'!L651</f>
      </c>
      <c r="AW22" s="1">
        <f>'DATA_RESPONDEN'!M651</f>
      </c>
      <c r="AX22" s="1">
        <f>'DATA_RESPONDEN'!N651</f>
      </c>
      <c r="AY22" s="1">
        <f>'DATA_RESPONDEN'!L692</f>
      </c>
      <c r="AZ22" s="1">
        <f>'DATA_RESPONDEN'!M692</f>
      </c>
      <c r="BA22" s="1">
        <f>'DATA_RESPONDEN'!N692</f>
      </c>
      <c r="BB22" s="1">
        <f>'DATA_RESPONDEN'!L733</f>
      </c>
      <c r="BC22" s="1">
        <f>'DATA_RESPONDEN'!M733</f>
      </c>
      <c r="BD22" s="1">
        <f>'DATA_RESPONDEN'!N733</f>
      </c>
      <c r="BE22" s="1">
        <f>'DATA_RESPONDEN'!L774</f>
      </c>
      <c r="BF22" s="1">
        <f>'DATA_RESPONDEN'!M774</f>
      </c>
      <c r="BG22" s="1">
        <f>'DATA_RESPONDEN'!N774</f>
      </c>
      <c r="BH22" s="1">
        <f>'DATA_RESPONDEN'!L815</f>
      </c>
      <c r="BI22" s="1">
        <f>'DATA_RESPONDEN'!M815</f>
      </c>
      <c r="BJ22" s="1">
        <f>'DATA_RESPONDEN'!N815</f>
      </c>
      <c r="BK22" s="1">
        <f>'DATA_RESPONDEN'!L856</f>
      </c>
      <c r="BL22" s="1">
        <f>'DATA_RESPONDEN'!M856</f>
      </c>
      <c r="BM22" s="1">
        <f>'DATA_RESPONDEN'!N856</f>
      </c>
      <c r="BN22" s="2">
        <f>PRODUCT(C22,F22,I22,L22,O22,R22,U22,X22,AA22,AD22,AG22,AJ22,AM22,AP22,AS22,AV22,AY22,BB22,BE22,BH22,BK22)</f>
      </c>
      <c r="BO22" s="2">
        <f>PRODUCT(D22,G22,J22,M22,P22,S22,V22,Y22,AB22,AE22,AH22,AK22,AN22,AQ22,AT22,AW22,AZ22,BC22,BF22,BI22,BL22)</f>
      </c>
      <c r="BP22" s="2">
        <f>PRODUCT(E22,H22,K22,N22,Q22,T22,W22,Z22,AC22,AF22,AI22,AL22,AO22,AR22,AU22,AX22,BA22,BD22,BG22,BJ22,BM22)</f>
      </c>
      <c r="BQ22" s="1">
        <f>POWER(BN22,1/21)</f>
      </c>
      <c r="BR22" s="1">
        <f>POWER(BO22,1/21)</f>
      </c>
      <c r="BS22" s="1">
        <f>POWER(BP22,1/21)</f>
      </c>
    </row>
    <row r="23">
      <c r="A23">
        <v>17</v>
      </c>
      <c r="B23" t="str">
        <v>CP3_vs_CP5</v>
      </c>
      <c r="C23" s="1">
        <f>'DATA_RESPONDEN'!L37</f>
      </c>
      <c r="D23" s="1">
        <f>'DATA_RESPONDEN'!M37</f>
      </c>
      <c r="E23" s="1">
        <f>'DATA_RESPONDEN'!N37</f>
      </c>
      <c r="F23" s="1">
        <f>'DATA_RESPONDEN'!L78</f>
      </c>
      <c r="G23" s="1">
        <f>'DATA_RESPONDEN'!M78</f>
      </c>
      <c r="H23" s="1">
        <f>'DATA_RESPONDEN'!N78</f>
      </c>
      <c r="I23" s="1">
        <f>'DATA_RESPONDEN'!L119</f>
      </c>
      <c r="J23" s="1">
        <f>'DATA_RESPONDEN'!M119</f>
      </c>
      <c r="K23" s="1">
        <f>'DATA_RESPONDEN'!N119</f>
      </c>
      <c r="L23" s="1">
        <f>'DATA_RESPONDEN'!L160</f>
      </c>
      <c r="M23" s="1">
        <f>'DATA_RESPONDEN'!M160</f>
      </c>
      <c r="N23" s="1">
        <f>'DATA_RESPONDEN'!N160</f>
      </c>
      <c r="O23" s="1">
        <f>'DATA_RESPONDEN'!L201</f>
      </c>
      <c r="P23" s="1">
        <f>'DATA_RESPONDEN'!M201</f>
      </c>
      <c r="Q23" s="1">
        <f>'DATA_RESPONDEN'!N201</f>
      </c>
      <c r="R23" s="1">
        <f>'DATA_RESPONDEN'!L242</f>
      </c>
      <c r="S23" s="1">
        <f>'DATA_RESPONDEN'!M242</f>
      </c>
      <c r="T23" s="1">
        <f>'DATA_RESPONDEN'!N242</f>
      </c>
      <c r="U23" s="1">
        <f>'DATA_RESPONDEN'!L283</f>
      </c>
      <c r="V23" s="1">
        <f>'DATA_RESPONDEN'!M283</f>
      </c>
      <c r="W23" s="1">
        <f>'DATA_RESPONDEN'!N283</f>
      </c>
      <c r="X23" s="1">
        <f>'DATA_RESPONDEN'!L324</f>
      </c>
      <c r="Y23" s="1">
        <f>'DATA_RESPONDEN'!M324</f>
      </c>
      <c r="Z23" s="1">
        <f>'DATA_RESPONDEN'!N324</f>
      </c>
      <c r="AA23" s="1">
        <f>'DATA_RESPONDEN'!L365</f>
      </c>
      <c r="AB23" s="1">
        <f>'DATA_RESPONDEN'!M365</f>
      </c>
      <c r="AC23" s="1">
        <f>'DATA_RESPONDEN'!N365</f>
      </c>
      <c r="AD23" s="1">
        <f>'DATA_RESPONDEN'!L406</f>
      </c>
      <c r="AE23" s="1">
        <f>'DATA_RESPONDEN'!M406</f>
      </c>
      <c r="AF23" s="1">
        <f>'DATA_RESPONDEN'!N406</f>
      </c>
      <c r="AG23" s="1">
        <f>'DATA_RESPONDEN'!L447</f>
      </c>
      <c r="AH23" s="1">
        <f>'DATA_RESPONDEN'!M447</f>
      </c>
      <c r="AI23" s="1">
        <f>'DATA_RESPONDEN'!N447</f>
      </c>
      <c r="AJ23" s="1">
        <f>'DATA_RESPONDEN'!L488</f>
      </c>
      <c r="AK23" s="1">
        <f>'DATA_RESPONDEN'!M488</f>
      </c>
      <c r="AL23" s="1">
        <f>'DATA_RESPONDEN'!N488</f>
      </c>
      <c r="AM23" s="1">
        <f>'DATA_RESPONDEN'!L529</f>
      </c>
      <c r="AN23" s="1">
        <f>'DATA_RESPONDEN'!M529</f>
      </c>
      <c r="AO23" s="1">
        <f>'DATA_RESPONDEN'!N529</f>
      </c>
      <c r="AP23" s="1">
        <f>'DATA_RESPONDEN'!L570</f>
      </c>
      <c r="AQ23" s="1">
        <f>'DATA_RESPONDEN'!M570</f>
      </c>
      <c r="AR23" s="1">
        <f>'DATA_RESPONDEN'!N570</f>
      </c>
      <c r="AS23" s="1">
        <f>'DATA_RESPONDEN'!L611</f>
      </c>
      <c r="AT23" s="1">
        <f>'DATA_RESPONDEN'!M611</f>
      </c>
      <c r="AU23" s="1">
        <f>'DATA_RESPONDEN'!N611</f>
      </c>
      <c r="AV23" s="1">
        <f>'DATA_RESPONDEN'!L652</f>
      </c>
      <c r="AW23" s="1">
        <f>'DATA_RESPONDEN'!M652</f>
      </c>
      <c r="AX23" s="1">
        <f>'DATA_RESPONDEN'!N652</f>
      </c>
      <c r="AY23" s="1">
        <f>'DATA_RESPONDEN'!L693</f>
      </c>
      <c r="AZ23" s="1">
        <f>'DATA_RESPONDEN'!M693</f>
      </c>
      <c r="BA23" s="1">
        <f>'DATA_RESPONDEN'!N693</f>
      </c>
      <c r="BB23" s="1">
        <f>'DATA_RESPONDEN'!L734</f>
      </c>
      <c r="BC23" s="1">
        <f>'DATA_RESPONDEN'!M734</f>
      </c>
      <c r="BD23" s="1">
        <f>'DATA_RESPONDEN'!N734</f>
      </c>
      <c r="BE23" s="1">
        <f>'DATA_RESPONDEN'!L775</f>
      </c>
      <c r="BF23" s="1">
        <f>'DATA_RESPONDEN'!M775</f>
      </c>
      <c r="BG23" s="1">
        <f>'DATA_RESPONDEN'!N775</f>
      </c>
      <c r="BH23" s="1">
        <f>'DATA_RESPONDEN'!L816</f>
      </c>
      <c r="BI23" s="1">
        <f>'DATA_RESPONDEN'!M816</f>
      </c>
      <c r="BJ23" s="1">
        <f>'DATA_RESPONDEN'!N816</f>
      </c>
      <c r="BK23" s="1">
        <f>'DATA_RESPONDEN'!L857</f>
      </c>
      <c r="BL23" s="1">
        <f>'DATA_RESPONDEN'!M857</f>
      </c>
      <c r="BM23" s="1">
        <f>'DATA_RESPONDEN'!N857</f>
      </c>
      <c r="BN23" s="2">
        <f>PRODUCT(C23,F23,I23,L23,O23,R23,U23,X23,AA23,AD23,AG23,AJ23,AM23,AP23,AS23,AV23,AY23,BB23,BE23,BH23,BK23)</f>
      </c>
      <c r="BO23" s="2">
        <f>PRODUCT(D23,G23,J23,M23,P23,S23,V23,Y23,AB23,AE23,AH23,AK23,AN23,AQ23,AT23,AW23,AZ23,BC23,BF23,BI23,BL23)</f>
      </c>
      <c r="BP23" s="2">
        <f>PRODUCT(E23,H23,K23,N23,Q23,T23,W23,Z23,AC23,AF23,AI23,AL23,AO23,AR23,AU23,AX23,BA23,BD23,BG23,BJ23,BM23)</f>
      </c>
      <c r="BQ23" s="1">
        <f>POWER(BN23,1/21)</f>
      </c>
      <c r="BR23" s="1">
        <f>POWER(BO23,1/21)</f>
      </c>
      <c r="BS23" s="1">
        <f>POWER(BP23,1/21)</f>
      </c>
    </row>
    <row r="24">
      <c r="A24">
        <v>18</v>
      </c>
      <c r="B24" t="str">
        <v>CP3_vs_CP6</v>
      </c>
      <c r="C24" s="1">
        <f>'DATA_RESPONDEN'!L38</f>
      </c>
      <c r="D24" s="1">
        <f>'DATA_RESPONDEN'!M38</f>
      </c>
      <c r="E24" s="1">
        <f>'DATA_RESPONDEN'!N38</f>
      </c>
      <c r="F24" s="1">
        <f>'DATA_RESPONDEN'!L79</f>
      </c>
      <c r="G24" s="1">
        <f>'DATA_RESPONDEN'!M79</f>
      </c>
      <c r="H24" s="1">
        <f>'DATA_RESPONDEN'!N79</f>
      </c>
      <c r="I24" s="1">
        <f>'DATA_RESPONDEN'!L120</f>
      </c>
      <c r="J24" s="1">
        <f>'DATA_RESPONDEN'!M120</f>
      </c>
      <c r="K24" s="1">
        <f>'DATA_RESPONDEN'!N120</f>
      </c>
      <c r="L24" s="1">
        <f>'DATA_RESPONDEN'!L161</f>
      </c>
      <c r="M24" s="1">
        <f>'DATA_RESPONDEN'!M161</f>
      </c>
      <c r="N24" s="1">
        <f>'DATA_RESPONDEN'!N161</f>
      </c>
      <c r="O24" s="1">
        <f>'DATA_RESPONDEN'!L202</f>
      </c>
      <c r="P24" s="1">
        <f>'DATA_RESPONDEN'!M202</f>
      </c>
      <c r="Q24" s="1">
        <f>'DATA_RESPONDEN'!N202</f>
      </c>
      <c r="R24" s="1">
        <f>'DATA_RESPONDEN'!L243</f>
      </c>
      <c r="S24" s="1">
        <f>'DATA_RESPONDEN'!M243</f>
      </c>
      <c r="T24" s="1">
        <f>'DATA_RESPONDEN'!N243</f>
      </c>
      <c r="U24" s="1">
        <f>'DATA_RESPONDEN'!L284</f>
      </c>
      <c r="V24" s="1">
        <f>'DATA_RESPONDEN'!M284</f>
      </c>
      <c r="W24" s="1">
        <f>'DATA_RESPONDEN'!N284</f>
      </c>
      <c r="X24" s="1">
        <f>'DATA_RESPONDEN'!L325</f>
      </c>
      <c r="Y24" s="1">
        <f>'DATA_RESPONDEN'!M325</f>
      </c>
      <c r="Z24" s="1">
        <f>'DATA_RESPONDEN'!N325</f>
      </c>
      <c r="AA24" s="1">
        <f>'DATA_RESPONDEN'!L366</f>
      </c>
      <c r="AB24" s="1">
        <f>'DATA_RESPONDEN'!M366</f>
      </c>
      <c r="AC24" s="1">
        <f>'DATA_RESPONDEN'!N366</f>
      </c>
      <c r="AD24" s="1">
        <f>'DATA_RESPONDEN'!L407</f>
      </c>
      <c r="AE24" s="1">
        <f>'DATA_RESPONDEN'!M407</f>
      </c>
      <c r="AF24" s="1">
        <f>'DATA_RESPONDEN'!N407</f>
      </c>
      <c r="AG24" s="1">
        <f>'DATA_RESPONDEN'!L448</f>
      </c>
      <c r="AH24" s="1">
        <f>'DATA_RESPONDEN'!M448</f>
      </c>
      <c r="AI24" s="1">
        <f>'DATA_RESPONDEN'!N448</f>
      </c>
      <c r="AJ24" s="1">
        <f>'DATA_RESPONDEN'!L489</f>
      </c>
      <c r="AK24" s="1">
        <f>'DATA_RESPONDEN'!M489</f>
      </c>
      <c r="AL24" s="1">
        <f>'DATA_RESPONDEN'!N489</f>
      </c>
      <c r="AM24" s="1">
        <f>'DATA_RESPONDEN'!L530</f>
      </c>
      <c r="AN24" s="1">
        <f>'DATA_RESPONDEN'!M530</f>
      </c>
      <c r="AO24" s="1">
        <f>'DATA_RESPONDEN'!N530</f>
      </c>
      <c r="AP24" s="1">
        <f>'DATA_RESPONDEN'!L571</f>
      </c>
      <c r="AQ24" s="1">
        <f>'DATA_RESPONDEN'!M571</f>
      </c>
      <c r="AR24" s="1">
        <f>'DATA_RESPONDEN'!N571</f>
      </c>
      <c r="AS24" s="1">
        <f>'DATA_RESPONDEN'!L612</f>
      </c>
      <c r="AT24" s="1">
        <f>'DATA_RESPONDEN'!M612</f>
      </c>
      <c r="AU24" s="1">
        <f>'DATA_RESPONDEN'!N612</f>
      </c>
      <c r="AV24" s="1">
        <f>'DATA_RESPONDEN'!L653</f>
      </c>
      <c r="AW24" s="1">
        <f>'DATA_RESPONDEN'!M653</f>
      </c>
      <c r="AX24" s="1">
        <f>'DATA_RESPONDEN'!N653</f>
      </c>
      <c r="AY24" s="1">
        <f>'DATA_RESPONDEN'!L694</f>
      </c>
      <c r="AZ24" s="1">
        <f>'DATA_RESPONDEN'!M694</f>
      </c>
      <c r="BA24" s="1">
        <f>'DATA_RESPONDEN'!N694</f>
      </c>
      <c r="BB24" s="1">
        <f>'DATA_RESPONDEN'!L735</f>
      </c>
      <c r="BC24" s="1">
        <f>'DATA_RESPONDEN'!M735</f>
      </c>
      <c r="BD24" s="1">
        <f>'DATA_RESPONDEN'!N735</f>
      </c>
      <c r="BE24" s="1">
        <f>'DATA_RESPONDEN'!L776</f>
      </c>
      <c r="BF24" s="1">
        <f>'DATA_RESPONDEN'!M776</f>
      </c>
      <c r="BG24" s="1">
        <f>'DATA_RESPONDEN'!N776</f>
      </c>
      <c r="BH24" s="1">
        <f>'DATA_RESPONDEN'!L817</f>
      </c>
      <c r="BI24" s="1">
        <f>'DATA_RESPONDEN'!M817</f>
      </c>
      <c r="BJ24" s="1">
        <f>'DATA_RESPONDEN'!N817</f>
      </c>
      <c r="BK24" s="1">
        <f>'DATA_RESPONDEN'!L858</f>
      </c>
      <c r="BL24" s="1">
        <f>'DATA_RESPONDEN'!M858</f>
      </c>
      <c r="BM24" s="1">
        <f>'DATA_RESPONDEN'!N858</f>
      </c>
      <c r="BN24" s="2">
        <f>PRODUCT(C24,F24,I24,L24,O24,R24,U24,X24,AA24,AD24,AG24,AJ24,AM24,AP24,AS24,AV24,AY24,BB24,BE24,BH24,BK24)</f>
      </c>
      <c r="BO24" s="2">
        <f>PRODUCT(D24,G24,J24,M24,P24,S24,V24,Y24,AB24,AE24,AH24,AK24,AN24,AQ24,AT24,AW24,AZ24,BC24,BF24,BI24,BL24)</f>
      </c>
      <c r="BP24" s="2">
        <f>PRODUCT(E24,H24,K24,N24,Q24,T24,W24,Z24,AC24,AF24,AI24,AL24,AO24,AR24,AU24,AX24,BA24,BD24,BG24,BJ24,BM24)</f>
      </c>
      <c r="BQ24" s="1">
        <f>POWER(BN24,1/21)</f>
      </c>
      <c r="BR24" s="1">
        <f>POWER(BO24,1/21)</f>
      </c>
      <c r="BS24" s="1">
        <f>POWER(BP24,1/21)</f>
      </c>
    </row>
    <row r="25">
      <c r="A25">
        <v>19</v>
      </c>
      <c r="B25" t="str">
        <v>CP3_vs_CP7</v>
      </c>
      <c r="C25" s="1">
        <f>'DATA_RESPONDEN'!L39</f>
      </c>
      <c r="D25" s="1">
        <f>'DATA_RESPONDEN'!M39</f>
      </c>
      <c r="E25" s="1">
        <f>'DATA_RESPONDEN'!N39</f>
      </c>
      <c r="F25" s="1">
        <f>'DATA_RESPONDEN'!L80</f>
      </c>
      <c r="G25" s="1">
        <f>'DATA_RESPONDEN'!M80</f>
      </c>
      <c r="H25" s="1">
        <f>'DATA_RESPONDEN'!N80</f>
      </c>
      <c r="I25" s="1">
        <f>'DATA_RESPONDEN'!L121</f>
      </c>
      <c r="J25" s="1">
        <f>'DATA_RESPONDEN'!M121</f>
      </c>
      <c r="K25" s="1">
        <f>'DATA_RESPONDEN'!N121</f>
      </c>
      <c r="L25" s="1">
        <f>'DATA_RESPONDEN'!L162</f>
      </c>
      <c r="M25" s="1">
        <f>'DATA_RESPONDEN'!M162</f>
      </c>
      <c r="N25" s="1">
        <f>'DATA_RESPONDEN'!N162</f>
      </c>
      <c r="O25" s="1">
        <f>'DATA_RESPONDEN'!L203</f>
      </c>
      <c r="P25" s="1">
        <f>'DATA_RESPONDEN'!M203</f>
      </c>
      <c r="Q25" s="1">
        <f>'DATA_RESPONDEN'!N203</f>
      </c>
      <c r="R25" s="1">
        <f>'DATA_RESPONDEN'!L244</f>
      </c>
      <c r="S25" s="1">
        <f>'DATA_RESPONDEN'!M244</f>
      </c>
      <c r="T25" s="1">
        <f>'DATA_RESPONDEN'!N244</f>
      </c>
      <c r="U25" s="1">
        <f>'DATA_RESPONDEN'!L285</f>
      </c>
      <c r="V25" s="1">
        <f>'DATA_RESPONDEN'!M285</f>
      </c>
      <c r="W25" s="1">
        <f>'DATA_RESPONDEN'!N285</f>
      </c>
      <c r="X25" s="1">
        <f>'DATA_RESPONDEN'!L326</f>
      </c>
      <c r="Y25" s="1">
        <f>'DATA_RESPONDEN'!M326</f>
      </c>
      <c r="Z25" s="1">
        <f>'DATA_RESPONDEN'!N326</f>
      </c>
      <c r="AA25" s="1">
        <f>'DATA_RESPONDEN'!L367</f>
      </c>
      <c r="AB25" s="1">
        <f>'DATA_RESPONDEN'!M367</f>
      </c>
      <c r="AC25" s="1">
        <f>'DATA_RESPONDEN'!N367</f>
      </c>
      <c r="AD25" s="1">
        <f>'DATA_RESPONDEN'!L408</f>
      </c>
      <c r="AE25" s="1">
        <f>'DATA_RESPONDEN'!M408</f>
      </c>
      <c r="AF25" s="1">
        <f>'DATA_RESPONDEN'!N408</f>
      </c>
      <c r="AG25" s="1">
        <f>'DATA_RESPONDEN'!L449</f>
      </c>
      <c r="AH25" s="1">
        <f>'DATA_RESPONDEN'!M449</f>
      </c>
      <c r="AI25" s="1">
        <f>'DATA_RESPONDEN'!N449</f>
      </c>
      <c r="AJ25" s="1">
        <f>'DATA_RESPONDEN'!L490</f>
      </c>
      <c r="AK25" s="1">
        <f>'DATA_RESPONDEN'!M490</f>
      </c>
      <c r="AL25" s="1">
        <f>'DATA_RESPONDEN'!N490</f>
      </c>
      <c r="AM25" s="1">
        <f>'DATA_RESPONDEN'!L531</f>
      </c>
      <c r="AN25" s="1">
        <f>'DATA_RESPONDEN'!M531</f>
      </c>
      <c r="AO25" s="1">
        <f>'DATA_RESPONDEN'!N531</f>
      </c>
      <c r="AP25" s="1">
        <f>'DATA_RESPONDEN'!L572</f>
      </c>
      <c r="AQ25" s="1">
        <f>'DATA_RESPONDEN'!M572</f>
      </c>
      <c r="AR25" s="1">
        <f>'DATA_RESPONDEN'!N572</f>
      </c>
      <c r="AS25" s="1">
        <f>'DATA_RESPONDEN'!L613</f>
      </c>
      <c r="AT25" s="1">
        <f>'DATA_RESPONDEN'!M613</f>
      </c>
      <c r="AU25" s="1">
        <f>'DATA_RESPONDEN'!N613</f>
      </c>
      <c r="AV25" s="1">
        <f>'DATA_RESPONDEN'!L654</f>
      </c>
      <c r="AW25" s="1">
        <f>'DATA_RESPONDEN'!M654</f>
      </c>
      <c r="AX25" s="1">
        <f>'DATA_RESPONDEN'!N654</f>
      </c>
      <c r="AY25" s="1">
        <f>'DATA_RESPONDEN'!L695</f>
      </c>
      <c r="AZ25" s="1">
        <f>'DATA_RESPONDEN'!M695</f>
      </c>
      <c r="BA25" s="1">
        <f>'DATA_RESPONDEN'!N695</f>
      </c>
      <c r="BB25" s="1">
        <f>'DATA_RESPONDEN'!L736</f>
      </c>
      <c r="BC25" s="1">
        <f>'DATA_RESPONDEN'!M736</f>
      </c>
      <c r="BD25" s="1">
        <f>'DATA_RESPONDEN'!N736</f>
      </c>
      <c r="BE25" s="1">
        <f>'DATA_RESPONDEN'!L777</f>
      </c>
      <c r="BF25" s="1">
        <f>'DATA_RESPONDEN'!M777</f>
      </c>
      <c r="BG25" s="1">
        <f>'DATA_RESPONDEN'!N777</f>
      </c>
      <c r="BH25" s="1">
        <f>'DATA_RESPONDEN'!L818</f>
      </c>
      <c r="BI25" s="1">
        <f>'DATA_RESPONDEN'!M818</f>
      </c>
      <c r="BJ25" s="1">
        <f>'DATA_RESPONDEN'!N818</f>
      </c>
      <c r="BK25" s="1">
        <f>'DATA_RESPONDEN'!L859</f>
      </c>
      <c r="BL25" s="1">
        <f>'DATA_RESPONDEN'!M859</f>
      </c>
      <c r="BM25" s="1">
        <f>'DATA_RESPONDEN'!N859</f>
      </c>
      <c r="BN25" s="2">
        <f>PRODUCT(C25,F25,I25,L25,O25,R25,U25,X25,AA25,AD25,AG25,AJ25,AM25,AP25,AS25,AV25,AY25,BB25,BE25,BH25,BK25)</f>
      </c>
      <c r="BO25" s="2">
        <f>PRODUCT(D25,G25,J25,M25,P25,S25,V25,Y25,AB25,AE25,AH25,AK25,AN25,AQ25,AT25,AW25,AZ25,BC25,BF25,BI25,BL25)</f>
      </c>
      <c r="BP25" s="2">
        <f>PRODUCT(E25,H25,K25,N25,Q25,T25,W25,Z25,AC25,AF25,AI25,AL25,AO25,AR25,AU25,AX25,BA25,BD25,BG25,BJ25,BM25)</f>
      </c>
      <c r="BQ25" s="1">
        <f>POWER(BN25,1/21)</f>
      </c>
      <c r="BR25" s="1">
        <f>POWER(BO25,1/21)</f>
      </c>
      <c r="BS25" s="1">
        <f>POWER(BP25,1/21)</f>
      </c>
    </row>
    <row r="26">
      <c r="A26">
        <v>20</v>
      </c>
      <c r="B26" t="str">
        <v>CP3_vs_CP8</v>
      </c>
      <c r="C26" s="1">
        <f>'DATA_RESPONDEN'!L40</f>
      </c>
      <c r="D26" s="1">
        <f>'DATA_RESPONDEN'!M40</f>
      </c>
      <c r="E26" s="1">
        <f>'DATA_RESPONDEN'!N40</f>
      </c>
      <c r="F26" s="1">
        <f>'DATA_RESPONDEN'!L81</f>
      </c>
      <c r="G26" s="1">
        <f>'DATA_RESPONDEN'!M81</f>
      </c>
      <c r="H26" s="1">
        <f>'DATA_RESPONDEN'!N81</f>
      </c>
      <c r="I26" s="1">
        <f>'DATA_RESPONDEN'!L122</f>
      </c>
      <c r="J26" s="1">
        <f>'DATA_RESPONDEN'!M122</f>
      </c>
      <c r="K26" s="1">
        <f>'DATA_RESPONDEN'!N122</f>
      </c>
      <c r="L26" s="1">
        <f>'DATA_RESPONDEN'!L163</f>
      </c>
      <c r="M26" s="1">
        <f>'DATA_RESPONDEN'!M163</f>
      </c>
      <c r="N26" s="1">
        <f>'DATA_RESPONDEN'!N163</f>
      </c>
      <c r="O26" s="1">
        <f>'DATA_RESPONDEN'!L204</f>
      </c>
      <c r="P26" s="1">
        <f>'DATA_RESPONDEN'!M204</f>
      </c>
      <c r="Q26" s="1">
        <f>'DATA_RESPONDEN'!N204</f>
      </c>
      <c r="R26" s="1">
        <f>'DATA_RESPONDEN'!L245</f>
      </c>
      <c r="S26" s="1">
        <f>'DATA_RESPONDEN'!M245</f>
      </c>
      <c r="T26" s="1">
        <f>'DATA_RESPONDEN'!N245</f>
      </c>
      <c r="U26" s="1">
        <f>'DATA_RESPONDEN'!L286</f>
      </c>
      <c r="V26" s="1">
        <f>'DATA_RESPONDEN'!M286</f>
      </c>
      <c r="W26" s="1">
        <f>'DATA_RESPONDEN'!N286</f>
      </c>
      <c r="X26" s="1">
        <f>'DATA_RESPONDEN'!L327</f>
      </c>
      <c r="Y26" s="1">
        <f>'DATA_RESPONDEN'!M327</f>
      </c>
      <c r="Z26" s="1">
        <f>'DATA_RESPONDEN'!N327</f>
      </c>
      <c r="AA26" s="1">
        <f>'DATA_RESPONDEN'!L368</f>
      </c>
      <c r="AB26" s="1">
        <f>'DATA_RESPONDEN'!M368</f>
      </c>
      <c r="AC26" s="1">
        <f>'DATA_RESPONDEN'!N368</f>
      </c>
      <c r="AD26" s="1">
        <f>'DATA_RESPONDEN'!L409</f>
      </c>
      <c r="AE26" s="1">
        <f>'DATA_RESPONDEN'!M409</f>
      </c>
      <c r="AF26" s="1">
        <f>'DATA_RESPONDEN'!N409</f>
      </c>
      <c r="AG26" s="1">
        <f>'DATA_RESPONDEN'!L450</f>
      </c>
      <c r="AH26" s="1">
        <f>'DATA_RESPONDEN'!M450</f>
      </c>
      <c r="AI26" s="1">
        <f>'DATA_RESPONDEN'!N450</f>
      </c>
      <c r="AJ26" s="1">
        <f>'DATA_RESPONDEN'!L491</f>
      </c>
      <c r="AK26" s="1">
        <f>'DATA_RESPONDEN'!M491</f>
      </c>
      <c r="AL26" s="1">
        <f>'DATA_RESPONDEN'!N491</f>
      </c>
      <c r="AM26" s="1">
        <f>'DATA_RESPONDEN'!L532</f>
      </c>
      <c r="AN26" s="1">
        <f>'DATA_RESPONDEN'!M532</f>
      </c>
      <c r="AO26" s="1">
        <f>'DATA_RESPONDEN'!N532</f>
      </c>
      <c r="AP26" s="1">
        <f>'DATA_RESPONDEN'!L573</f>
      </c>
      <c r="AQ26" s="1">
        <f>'DATA_RESPONDEN'!M573</f>
      </c>
      <c r="AR26" s="1">
        <f>'DATA_RESPONDEN'!N573</f>
      </c>
      <c r="AS26" s="1">
        <f>'DATA_RESPONDEN'!L614</f>
      </c>
      <c r="AT26" s="1">
        <f>'DATA_RESPONDEN'!M614</f>
      </c>
      <c r="AU26" s="1">
        <f>'DATA_RESPONDEN'!N614</f>
      </c>
      <c r="AV26" s="1">
        <f>'DATA_RESPONDEN'!L655</f>
      </c>
      <c r="AW26" s="1">
        <f>'DATA_RESPONDEN'!M655</f>
      </c>
      <c r="AX26" s="1">
        <f>'DATA_RESPONDEN'!N655</f>
      </c>
      <c r="AY26" s="1">
        <f>'DATA_RESPONDEN'!L696</f>
      </c>
      <c r="AZ26" s="1">
        <f>'DATA_RESPONDEN'!M696</f>
      </c>
      <c r="BA26" s="1">
        <f>'DATA_RESPONDEN'!N696</f>
      </c>
      <c r="BB26" s="1">
        <f>'DATA_RESPONDEN'!L737</f>
      </c>
      <c r="BC26" s="1">
        <f>'DATA_RESPONDEN'!M737</f>
      </c>
      <c r="BD26" s="1">
        <f>'DATA_RESPONDEN'!N737</f>
      </c>
      <c r="BE26" s="1">
        <f>'DATA_RESPONDEN'!L778</f>
      </c>
      <c r="BF26" s="1">
        <f>'DATA_RESPONDEN'!M778</f>
      </c>
      <c r="BG26" s="1">
        <f>'DATA_RESPONDEN'!N778</f>
      </c>
      <c r="BH26" s="1">
        <f>'DATA_RESPONDEN'!L819</f>
      </c>
      <c r="BI26" s="1">
        <f>'DATA_RESPONDEN'!M819</f>
      </c>
      <c r="BJ26" s="1">
        <f>'DATA_RESPONDEN'!N819</f>
      </c>
      <c r="BK26" s="1">
        <f>'DATA_RESPONDEN'!L860</f>
      </c>
      <c r="BL26" s="1">
        <f>'DATA_RESPONDEN'!M860</f>
      </c>
      <c r="BM26" s="1">
        <f>'DATA_RESPONDEN'!N860</f>
      </c>
      <c r="BN26" s="2">
        <f>PRODUCT(C26,F26,I26,L26,O26,R26,U26,X26,AA26,AD26,AG26,AJ26,AM26,AP26,AS26,AV26,AY26,BB26,BE26,BH26,BK26)</f>
      </c>
      <c r="BO26" s="2">
        <f>PRODUCT(D26,G26,J26,M26,P26,S26,V26,Y26,AB26,AE26,AH26,AK26,AN26,AQ26,AT26,AW26,AZ26,BC26,BF26,BI26,BL26)</f>
      </c>
      <c r="BP26" s="2">
        <f>PRODUCT(E26,H26,K26,N26,Q26,T26,W26,Z26,AC26,AF26,AI26,AL26,AO26,AR26,AU26,AX26,BA26,BD26,BG26,BJ26,BM26)</f>
      </c>
      <c r="BQ26" s="1">
        <f>POWER(BN26,1/21)</f>
      </c>
      <c r="BR26" s="1">
        <f>POWER(BO26,1/21)</f>
      </c>
      <c r="BS26" s="1">
        <f>POWER(BP26,1/21)</f>
      </c>
    </row>
    <row r="27">
      <c r="A27">
        <v>21</v>
      </c>
      <c r="B27" t="str">
        <v>CP3_vs_CP9</v>
      </c>
      <c r="C27" s="1">
        <f>'DATA_RESPONDEN'!L41</f>
      </c>
      <c r="D27" s="1">
        <f>'DATA_RESPONDEN'!M41</f>
      </c>
      <c r="E27" s="1">
        <f>'DATA_RESPONDEN'!N41</f>
      </c>
      <c r="F27" s="1">
        <f>'DATA_RESPONDEN'!L82</f>
      </c>
      <c r="G27" s="1">
        <f>'DATA_RESPONDEN'!M82</f>
      </c>
      <c r="H27" s="1">
        <f>'DATA_RESPONDEN'!N82</f>
      </c>
      <c r="I27" s="1">
        <f>'DATA_RESPONDEN'!L123</f>
      </c>
      <c r="J27" s="1">
        <f>'DATA_RESPONDEN'!M123</f>
      </c>
      <c r="K27" s="1">
        <f>'DATA_RESPONDEN'!N123</f>
      </c>
      <c r="L27" s="1">
        <f>'DATA_RESPONDEN'!L164</f>
      </c>
      <c r="M27" s="1">
        <f>'DATA_RESPONDEN'!M164</f>
      </c>
      <c r="N27" s="1">
        <f>'DATA_RESPONDEN'!N164</f>
      </c>
      <c r="O27" s="1">
        <f>'DATA_RESPONDEN'!L205</f>
      </c>
      <c r="P27" s="1">
        <f>'DATA_RESPONDEN'!M205</f>
      </c>
      <c r="Q27" s="1">
        <f>'DATA_RESPONDEN'!N205</f>
      </c>
      <c r="R27" s="1">
        <f>'DATA_RESPONDEN'!L246</f>
      </c>
      <c r="S27" s="1">
        <f>'DATA_RESPONDEN'!M246</f>
      </c>
      <c r="T27" s="1">
        <f>'DATA_RESPONDEN'!N246</f>
      </c>
      <c r="U27" s="1">
        <f>'DATA_RESPONDEN'!L287</f>
      </c>
      <c r="V27" s="1">
        <f>'DATA_RESPONDEN'!M287</f>
      </c>
      <c r="W27" s="1">
        <f>'DATA_RESPONDEN'!N287</f>
      </c>
      <c r="X27" s="1">
        <f>'DATA_RESPONDEN'!L328</f>
      </c>
      <c r="Y27" s="1">
        <f>'DATA_RESPONDEN'!M328</f>
      </c>
      <c r="Z27" s="1">
        <f>'DATA_RESPONDEN'!N328</f>
      </c>
      <c r="AA27" s="1">
        <f>'DATA_RESPONDEN'!L369</f>
      </c>
      <c r="AB27" s="1">
        <f>'DATA_RESPONDEN'!M369</f>
      </c>
      <c r="AC27" s="1">
        <f>'DATA_RESPONDEN'!N369</f>
      </c>
      <c r="AD27" s="1">
        <f>'DATA_RESPONDEN'!L410</f>
      </c>
      <c r="AE27" s="1">
        <f>'DATA_RESPONDEN'!M410</f>
      </c>
      <c r="AF27" s="1">
        <f>'DATA_RESPONDEN'!N410</f>
      </c>
      <c r="AG27" s="1">
        <f>'DATA_RESPONDEN'!L451</f>
      </c>
      <c r="AH27" s="1">
        <f>'DATA_RESPONDEN'!M451</f>
      </c>
      <c r="AI27" s="1">
        <f>'DATA_RESPONDEN'!N451</f>
      </c>
      <c r="AJ27" s="1">
        <f>'DATA_RESPONDEN'!L492</f>
      </c>
      <c r="AK27" s="1">
        <f>'DATA_RESPONDEN'!M492</f>
      </c>
      <c r="AL27" s="1">
        <f>'DATA_RESPONDEN'!N492</f>
      </c>
      <c r="AM27" s="1">
        <f>'DATA_RESPONDEN'!L533</f>
      </c>
      <c r="AN27" s="1">
        <f>'DATA_RESPONDEN'!M533</f>
      </c>
      <c r="AO27" s="1">
        <f>'DATA_RESPONDEN'!N533</f>
      </c>
      <c r="AP27" s="1">
        <f>'DATA_RESPONDEN'!L574</f>
      </c>
      <c r="AQ27" s="1">
        <f>'DATA_RESPONDEN'!M574</f>
      </c>
      <c r="AR27" s="1">
        <f>'DATA_RESPONDEN'!N574</f>
      </c>
      <c r="AS27" s="1">
        <f>'DATA_RESPONDEN'!L615</f>
      </c>
      <c r="AT27" s="1">
        <f>'DATA_RESPONDEN'!M615</f>
      </c>
      <c r="AU27" s="1">
        <f>'DATA_RESPONDEN'!N615</f>
      </c>
      <c r="AV27" s="1">
        <f>'DATA_RESPONDEN'!L656</f>
      </c>
      <c r="AW27" s="1">
        <f>'DATA_RESPONDEN'!M656</f>
      </c>
      <c r="AX27" s="1">
        <f>'DATA_RESPONDEN'!N656</f>
      </c>
      <c r="AY27" s="1">
        <f>'DATA_RESPONDEN'!L697</f>
      </c>
      <c r="AZ27" s="1">
        <f>'DATA_RESPONDEN'!M697</f>
      </c>
      <c r="BA27" s="1">
        <f>'DATA_RESPONDEN'!N697</f>
      </c>
      <c r="BB27" s="1">
        <f>'DATA_RESPONDEN'!L738</f>
      </c>
      <c r="BC27" s="1">
        <f>'DATA_RESPONDEN'!M738</f>
      </c>
      <c r="BD27" s="1">
        <f>'DATA_RESPONDEN'!N738</f>
      </c>
      <c r="BE27" s="1">
        <f>'DATA_RESPONDEN'!L779</f>
      </c>
      <c r="BF27" s="1">
        <f>'DATA_RESPONDEN'!M779</f>
      </c>
      <c r="BG27" s="1">
        <f>'DATA_RESPONDEN'!N779</f>
      </c>
      <c r="BH27" s="1">
        <f>'DATA_RESPONDEN'!L820</f>
      </c>
      <c r="BI27" s="1">
        <f>'DATA_RESPONDEN'!M820</f>
      </c>
      <c r="BJ27" s="1">
        <f>'DATA_RESPONDEN'!N820</f>
      </c>
      <c r="BK27" s="1">
        <f>'DATA_RESPONDEN'!L861</f>
      </c>
      <c r="BL27" s="1">
        <f>'DATA_RESPONDEN'!M861</f>
      </c>
      <c r="BM27" s="1">
        <f>'DATA_RESPONDEN'!N861</f>
      </c>
      <c r="BN27" s="2">
        <f>PRODUCT(C27,F27,I27,L27,O27,R27,U27,X27,AA27,AD27,AG27,AJ27,AM27,AP27,AS27,AV27,AY27,BB27,BE27,BH27,BK27)</f>
      </c>
      <c r="BO27" s="2">
        <f>PRODUCT(D27,G27,J27,M27,P27,S27,V27,Y27,AB27,AE27,AH27,AK27,AN27,AQ27,AT27,AW27,AZ27,BC27,BF27,BI27,BL27)</f>
      </c>
      <c r="BP27" s="2">
        <f>PRODUCT(E27,H27,K27,N27,Q27,T27,W27,Z27,AC27,AF27,AI27,AL27,AO27,AR27,AU27,AX27,BA27,BD27,BG27,BJ27,BM27)</f>
      </c>
      <c r="BQ27" s="1">
        <f>POWER(BN27,1/21)</f>
      </c>
      <c r="BR27" s="1">
        <f>POWER(BO27,1/21)</f>
      </c>
      <c r="BS27" s="1">
        <f>POWER(BP27,1/21)</f>
      </c>
    </row>
    <row r="28">
      <c r="A28">
        <v>22</v>
      </c>
      <c r="B28" t="str">
        <v>CP4_vs_CP5</v>
      </c>
      <c r="C28" s="1">
        <f>'DATA_RESPONDEN'!L42</f>
      </c>
      <c r="D28" s="1">
        <f>'DATA_RESPONDEN'!M42</f>
      </c>
      <c r="E28" s="1">
        <f>'DATA_RESPONDEN'!N42</f>
      </c>
      <c r="F28" s="1">
        <f>'DATA_RESPONDEN'!L83</f>
      </c>
      <c r="G28" s="1">
        <f>'DATA_RESPONDEN'!M83</f>
      </c>
      <c r="H28" s="1">
        <f>'DATA_RESPONDEN'!N83</f>
      </c>
      <c r="I28" s="1">
        <f>'DATA_RESPONDEN'!L124</f>
      </c>
      <c r="J28" s="1">
        <f>'DATA_RESPONDEN'!M124</f>
      </c>
      <c r="K28" s="1">
        <f>'DATA_RESPONDEN'!N124</f>
      </c>
      <c r="L28" s="1">
        <f>'DATA_RESPONDEN'!L165</f>
      </c>
      <c r="M28" s="1">
        <f>'DATA_RESPONDEN'!M165</f>
      </c>
      <c r="N28" s="1">
        <f>'DATA_RESPONDEN'!N165</f>
      </c>
      <c r="O28" s="1">
        <f>'DATA_RESPONDEN'!L206</f>
      </c>
      <c r="P28" s="1">
        <f>'DATA_RESPONDEN'!M206</f>
      </c>
      <c r="Q28" s="1">
        <f>'DATA_RESPONDEN'!N206</f>
      </c>
      <c r="R28" s="1">
        <f>'DATA_RESPONDEN'!L247</f>
      </c>
      <c r="S28" s="1">
        <f>'DATA_RESPONDEN'!M247</f>
      </c>
      <c r="T28" s="1">
        <f>'DATA_RESPONDEN'!N247</f>
      </c>
      <c r="U28" s="1">
        <f>'DATA_RESPONDEN'!L288</f>
      </c>
      <c r="V28" s="1">
        <f>'DATA_RESPONDEN'!M288</f>
      </c>
      <c r="W28" s="1">
        <f>'DATA_RESPONDEN'!N288</f>
      </c>
      <c r="X28" s="1">
        <f>'DATA_RESPONDEN'!L329</f>
      </c>
      <c r="Y28" s="1">
        <f>'DATA_RESPONDEN'!M329</f>
      </c>
      <c r="Z28" s="1">
        <f>'DATA_RESPONDEN'!N329</f>
      </c>
      <c r="AA28" s="1">
        <f>'DATA_RESPONDEN'!L370</f>
      </c>
      <c r="AB28" s="1">
        <f>'DATA_RESPONDEN'!M370</f>
      </c>
      <c r="AC28" s="1">
        <f>'DATA_RESPONDEN'!N370</f>
      </c>
      <c r="AD28" s="1">
        <f>'DATA_RESPONDEN'!L411</f>
      </c>
      <c r="AE28" s="1">
        <f>'DATA_RESPONDEN'!M411</f>
      </c>
      <c r="AF28" s="1">
        <f>'DATA_RESPONDEN'!N411</f>
      </c>
      <c r="AG28" s="1">
        <f>'DATA_RESPONDEN'!L452</f>
      </c>
      <c r="AH28" s="1">
        <f>'DATA_RESPONDEN'!M452</f>
      </c>
      <c r="AI28" s="1">
        <f>'DATA_RESPONDEN'!N452</f>
      </c>
      <c r="AJ28" s="1">
        <f>'DATA_RESPONDEN'!L493</f>
      </c>
      <c r="AK28" s="1">
        <f>'DATA_RESPONDEN'!M493</f>
      </c>
      <c r="AL28" s="1">
        <f>'DATA_RESPONDEN'!N493</f>
      </c>
      <c r="AM28" s="1">
        <f>'DATA_RESPONDEN'!L534</f>
      </c>
      <c r="AN28" s="1">
        <f>'DATA_RESPONDEN'!M534</f>
      </c>
      <c r="AO28" s="1">
        <f>'DATA_RESPONDEN'!N534</f>
      </c>
      <c r="AP28" s="1">
        <f>'DATA_RESPONDEN'!L575</f>
      </c>
      <c r="AQ28" s="1">
        <f>'DATA_RESPONDEN'!M575</f>
      </c>
      <c r="AR28" s="1">
        <f>'DATA_RESPONDEN'!N575</f>
      </c>
      <c r="AS28" s="1">
        <f>'DATA_RESPONDEN'!L616</f>
      </c>
      <c r="AT28" s="1">
        <f>'DATA_RESPONDEN'!M616</f>
      </c>
      <c r="AU28" s="1">
        <f>'DATA_RESPONDEN'!N616</f>
      </c>
      <c r="AV28" s="1">
        <f>'DATA_RESPONDEN'!L657</f>
      </c>
      <c r="AW28" s="1">
        <f>'DATA_RESPONDEN'!M657</f>
      </c>
      <c r="AX28" s="1">
        <f>'DATA_RESPONDEN'!N657</f>
      </c>
      <c r="AY28" s="1">
        <f>'DATA_RESPONDEN'!L698</f>
      </c>
      <c r="AZ28" s="1">
        <f>'DATA_RESPONDEN'!M698</f>
      </c>
      <c r="BA28" s="1">
        <f>'DATA_RESPONDEN'!N698</f>
      </c>
      <c r="BB28" s="1">
        <f>'DATA_RESPONDEN'!L739</f>
      </c>
      <c r="BC28" s="1">
        <f>'DATA_RESPONDEN'!M739</f>
      </c>
      <c r="BD28" s="1">
        <f>'DATA_RESPONDEN'!N739</f>
      </c>
      <c r="BE28" s="1">
        <f>'DATA_RESPONDEN'!L780</f>
      </c>
      <c r="BF28" s="1">
        <f>'DATA_RESPONDEN'!M780</f>
      </c>
      <c r="BG28" s="1">
        <f>'DATA_RESPONDEN'!N780</f>
      </c>
      <c r="BH28" s="1">
        <f>'DATA_RESPONDEN'!L821</f>
      </c>
      <c r="BI28" s="1">
        <f>'DATA_RESPONDEN'!M821</f>
      </c>
      <c r="BJ28" s="1">
        <f>'DATA_RESPONDEN'!N821</f>
      </c>
      <c r="BK28" s="1">
        <f>'DATA_RESPONDEN'!L862</f>
      </c>
      <c r="BL28" s="1">
        <f>'DATA_RESPONDEN'!M862</f>
      </c>
      <c r="BM28" s="1">
        <f>'DATA_RESPONDEN'!N862</f>
      </c>
      <c r="BN28" s="2">
        <f>PRODUCT(C28,F28,I28,L28,O28,R28,U28,X28,AA28,AD28,AG28,AJ28,AM28,AP28,AS28,AV28,AY28,BB28,BE28,BH28,BK28)</f>
      </c>
      <c r="BO28" s="2">
        <f>PRODUCT(D28,G28,J28,M28,P28,S28,V28,Y28,AB28,AE28,AH28,AK28,AN28,AQ28,AT28,AW28,AZ28,BC28,BF28,BI28,BL28)</f>
      </c>
      <c r="BP28" s="2">
        <f>PRODUCT(E28,H28,K28,N28,Q28,T28,W28,Z28,AC28,AF28,AI28,AL28,AO28,AR28,AU28,AX28,BA28,BD28,BG28,BJ28,BM28)</f>
      </c>
      <c r="BQ28" s="1">
        <f>POWER(BN28,1/21)</f>
      </c>
      <c r="BR28" s="1">
        <f>POWER(BO28,1/21)</f>
      </c>
      <c r="BS28" s="1">
        <f>POWER(BP28,1/21)</f>
      </c>
    </row>
    <row r="29">
      <c r="A29">
        <v>23</v>
      </c>
      <c r="B29" t="str">
        <v>CP4_vs_CP6</v>
      </c>
      <c r="C29" s="1">
        <f>'DATA_RESPONDEN'!L43</f>
      </c>
      <c r="D29" s="1">
        <f>'DATA_RESPONDEN'!M43</f>
      </c>
      <c r="E29" s="1">
        <f>'DATA_RESPONDEN'!N43</f>
      </c>
      <c r="F29" s="1">
        <f>'DATA_RESPONDEN'!L84</f>
      </c>
      <c r="G29" s="1">
        <f>'DATA_RESPONDEN'!M84</f>
      </c>
      <c r="H29" s="1">
        <f>'DATA_RESPONDEN'!N84</f>
      </c>
      <c r="I29" s="1">
        <f>'DATA_RESPONDEN'!L125</f>
      </c>
      <c r="J29" s="1">
        <f>'DATA_RESPONDEN'!M125</f>
      </c>
      <c r="K29" s="1">
        <f>'DATA_RESPONDEN'!N125</f>
      </c>
      <c r="L29" s="1">
        <f>'DATA_RESPONDEN'!L166</f>
      </c>
      <c r="M29" s="1">
        <f>'DATA_RESPONDEN'!M166</f>
      </c>
      <c r="N29" s="1">
        <f>'DATA_RESPONDEN'!N166</f>
      </c>
      <c r="O29" s="1">
        <f>'DATA_RESPONDEN'!L207</f>
      </c>
      <c r="P29" s="1">
        <f>'DATA_RESPONDEN'!M207</f>
      </c>
      <c r="Q29" s="1">
        <f>'DATA_RESPONDEN'!N207</f>
      </c>
      <c r="R29" s="1">
        <f>'DATA_RESPONDEN'!L248</f>
      </c>
      <c r="S29" s="1">
        <f>'DATA_RESPONDEN'!M248</f>
      </c>
      <c r="T29" s="1">
        <f>'DATA_RESPONDEN'!N248</f>
      </c>
      <c r="U29" s="1">
        <f>'DATA_RESPONDEN'!L289</f>
      </c>
      <c r="V29" s="1">
        <f>'DATA_RESPONDEN'!M289</f>
      </c>
      <c r="W29" s="1">
        <f>'DATA_RESPONDEN'!N289</f>
      </c>
      <c r="X29" s="1">
        <f>'DATA_RESPONDEN'!L330</f>
      </c>
      <c r="Y29" s="1">
        <f>'DATA_RESPONDEN'!M330</f>
      </c>
      <c r="Z29" s="1">
        <f>'DATA_RESPONDEN'!N330</f>
      </c>
      <c r="AA29" s="1">
        <f>'DATA_RESPONDEN'!L371</f>
      </c>
      <c r="AB29" s="1">
        <f>'DATA_RESPONDEN'!M371</f>
      </c>
      <c r="AC29" s="1">
        <f>'DATA_RESPONDEN'!N371</f>
      </c>
      <c r="AD29" s="1">
        <f>'DATA_RESPONDEN'!L412</f>
      </c>
      <c r="AE29" s="1">
        <f>'DATA_RESPONDEN'!M412</f>
      </c>
      <c r="AF29" s="1">
        <f>'DATA_RESPONDEN'!N412</f>
      </c>
      <c r="AG29" s="1">
        <f>'DATA_RESPONDEN'!L453</f>
      </c>
      <c r="AH29" s="1">
        <f>'DATA_RESPONDEN'!M453</f>
      </c>
      <c r="AI29" s="1">
        <f>'DATA_RESPONDEN'!N453</f>
      </c>
      <c r="AJ29" s="1">
        <f>'DATA_RESPONDEN'!L494</f>
      </c>
      <c r="AK29" s="1">
        <f>'DATA_RESPONDEN'!M494</f>
      </c>
      <c r="AL29" s="1">
        <f>'DATA_RESPONDEN'!N494</f>
      </c>
      <c r="AM29" s="1">
        <f>'DATA_RESPONDEN'!L535</f>
      </c>
      <c r="AN29" s="1">
        <f>'DATA_RESPONDEN'!M535</f>
      </c>
      <c r="AO29" s="1">
        <f>'DATA_RESPONDEN'!N535</f>
      </c>
      <c r="AP29" s="1">
        <f>'DATA_RESPONDEN'!L576</f>
      </c>
      <c r="AQ29" s="1">
        <f>'DATA_RESPONDEN'!M576</f>
      </c>
      <c r="AR29" s="1">
        <f>'DATA_RESPONDEN'!N576</f>
      </c>
      <c r="AS29" s="1">
        <f>'DATA_RESPONDEN'!L617</f>
      </c>
      <c r="AT29" s="1">
        <f>'DATA_RESPONDEN'!M617</f>
      </c>
      <c r="AU29" s="1">
        <f>'DATA_RESPONDEN'!N617</f>
      </c>
      <c r="AV29" s="1">
        <f>'DATA_RESPONDEN'!L658</f>
      </c>
      <c r="AW29" s="1">
        <f>'DATA_RESPONDEN'!M658</f>
      </c>
      <c r="AX29" s="1">
        <f>'DATA_RESPONDEN'!N658</f>
      </c>
      <c r="AY29" s="1">
        <f>'DATA_RESPONDEN'!L699</f>
      </c>
      <c r="AZ29" s="1">
        <f>'DATA_RESPONDEN'!M699</f>
      </c>
      <c r="BA29" s="1">
        <f>'DATA_RESPONDEN'!N699</f>
      </c>
      <c r="BB29" s="1">
        <f>'DATA_RESPONDEN'!L740</f>
      </c>
      <c r="BC29" s="1">
        <f>'DATA_RESPONDEN'!M740</f>
      </c>
      <c r="BD29" s="1">
        <f>'DATA_RESPONDEN'!N740</f>
      </c>
      <c r="BE29" s="1">
        <f>'DATA_RESPONDEN'!L781</f>
      </c>
      <c r="BF29" s="1">
        <f>'DATA_RESPONDEN'!M781</f>
      </c>
      <c r="BG29" s="1">
        <f>'DATA_RESPONDEN'!N781</f>
      </c>
      <c r="BH29" s="1">
        <f>'DATA_RESPONDEN'!L822</f>
      </c>
      <c r="BI29" s="1">
        <f>'DATA_RESPONDEN'!M822</f>
      </c>
      <c r="BJ29" s="1">
        <f>'DATA_RESPONDEN'!N822</f>
      </c>
      <c r="BK29" s="1">
        <f>'DATA_RESPONDEN'!L863</f>
      </c>
      <c r="BL29" s="1">
        <f>'DATA_RESPONDEN'!M863</f>
      </c>
      <c r="BM29" s="1">
        <f>'DATA_RESPONDEN'!N863</f>
      </c>
      <c r="BN29" s="2">
        <f>PRODUCT(C29,F29,I29,L29,O29,R29,U29,X29,AA29,AD29,AG29,AJ29,AM29,AP29,AS29,AV29,AY29,BB29,BE29,BH29,BK29)</f>
      </c>
      <c r="BO29" s="2">
        <f>PRODUCT(D29,G29,J29,M29,P29,S29,V29,Y29,AB29,AE29,AH29,AK29,AN29,AQ29,AT29,AW29,AZ29,BC29,BF29,BI29,BL29)</f>
      </c>
      <c r="BP29" s="2">
        <f>PRODUCT(E29,H29,K29,N29,Q29,T29,W29,Z29,AC29,AF29,AI29,AL29,AO29,AR29,AU29,AX29,BA29,BD29,BG29,BJ29,BM29)</f>
      </c>
      <c r="BQ29" s="1">
        <f>POWER(BN29,1/21)</f>
      </c>
      <c r="BR29" s="1">
        <f>POWER(BO29,1/21)</f>
      </c>
      <c r="BS29" s="1">
        <f>POWER(BP29,1/21)</f>
      </c>
    </row>
    <row r="30">
      <c r="A30">
        <v>24</v>
      </c>
      <c r="B30" t="str">
        <v>CP4_vs_CP7</v>
      </c>
      <c r="C30" s="1">
        <f>'DATA_RESPONDEN'!L44</f>
      </c>
      <c r="D30" s="1">
        <f>'DATA_RESPONDEN'!M44</f>
      </c>
      <c r="E30" s="1">
        <f>'DATA_RESPONDEN'!N44</f>
      </c>
      <c r="F30" s="1">
        <f>'DATA_RESPONDEN'!L85</f>
      </c>
      <c r="G30" s="1">
        <f>'DATA_RESPONDEN'!M85</f>
      </c>
      <c r="H30" s="1">
        <f>'DATA_RESPONDEN'!N85</f>
      </c>
      <c r="I30" s="1">
        <f>'DATA_RESPONDEN'!L126</f>
      </c>
      <c r="J30" s="1">
        <f>'DATA_RESPONDEN'!M126</f>
      </c>
      <c r="K30" s="1">
        <f>'DATA_RESPONDEN'!N126</f>
      </c>
      <c r="L30" s="1">
        <f>'DATA_RESPONDEN'!L167</f>
      </c>
      <c r="M30" s="1">
        <f>'DATA_RESPONDEN'!M167</f>
      </c>
      <c r="N30" s="1">
        <f>'DATA_RESPONDEN'!N167</f>
      </c>
      <c r="O30" s="1">
        <f>'DATA_RESPONDEN'!L208</f>
      </c>
      <c r="P30" s="1">
        <f>'DATA_RESPONDEN'!M208</f>
      </c>
      <c r="Q30" s="1">
        <f>'DATA_RESPONDEN'!N208</f>
      </c>
      <c r="R30" s="1">
        <f>'DATA_RESPONDEN'!L249</f>
      </c>
      <c r="S30" s="1">
        <f>'DATA_RESPONDEN'!M249</f>
      </c>
      <c r="T30" s="1">
        <f>'DATA_RESPONDEN'!N249</f>
      </c>
      <c r="U30" s="1">
        <f>'DATA_RESPONDEN'!L290</f>
      </c>
      <c r="V30" s="1">
        <f>'DATA_RESPONDEN'!M290</f>
      </c>
      <c r="W30" s="1">
        <f>'DATA_RESPONDEN'!N290</f>
      </c>
      <c r="X30" s="1">
        <f>'DATA_RESPONDEN'!L331</f>
      </c>
      <c r="Y30" s="1">
        <f>'DATA_RESPONDEN'!M331</f>
      </c>
      <c r="Z30" s="1">
        <f>'DATA_RESPONDEN'!N331</f>
      </c>
      <c r="AA30" s="1">
        <f>'DATA_RESPONDEN'!L372</f>
      </c>
      <c r="AB30" s="1">
        <f>'DATA_RESPONDEN'!M372</f>
      </c>
      <c r="AC30" s="1">
        <f>'DATA_RESPONDEN'!N372</f>
      </c>
      <c r="AD30" s="1">
        <f>'DATA_RESPONDEN'!L413</f>
      </c>
      <c r="AE30" s="1">
        <f>'DATA_RESPONDEN'!M413</f>
      </c>
      <c r="AF30" s="1">
        <f>'DATA_RESPONDEN'!N413</f>
      </c>
      <c r="AG30" s="1">
        <f>'DATA_RESPONDEN'!L454</f>
      </c>
      <c r="AH30" s="1">
        <f>'DATA_RESPONDEN'!M454</f>
      </c>
      <c r="AI30" s="1">
        <f>'DATA_RESPONDEN'!N454</f>
      </c>
      <c r="AJ30" s="1">
        <f>'DATA_RESPONDEN'!L495</f>
      </c>
      <c r="AK30" s="1">
        <f>'DATA_RESPONDEN'!M495</f>
      </c>
      <c r="AL30" s="1">
        <f>'DATA_RESPONDEN'!N495</f>
      </c>
      <c r="AM30" s="1">
        <f>'DATA_RESPONDEN'!L536</f>
      </c>
      <c r="AN30" s="1">
        <f>'DATA_RESPONDEN'!M536</f>
      </c>
      <c r="AO30" s="1">
        <f>'DATA_RESPONDEN'!N536</f>
      </c>
      <c r="AP30" s="1">
        <f>'DATA_RESPONDEN'!L577</f>
      </c>
      <c r="AQ30" s="1">
        <f>'DATA_RESPONDEN'!M577</f>
      </c>
      <c r="AR30" s="1">
        <f>'DATA_RESPONDEN'!N577</f>
      </c>
      <c r="AS30" s="1">
        <f>'DATA_RESPONDEN'!L618</f>
      </c>
      <c r="AT30" s="1">
        <f>'DATA_RESPONDEN'!M618</f>
      </c>
      <c r="AU30" s="1">
        <f>'DATA_RESPONDEN'!N618</f>
      </c>
      <c r="AV30" s="1">
        <f>'DATA_RESPONDEN'!L659</f>
      </c>
      <c r="AW30" s="1">
        <f>'DATA_RESPONDEN'!M659</f>
      </c>
      <c r="AX30" s="1">
        <f>'DATA_RESPONDEN'!N659</f>
      </c>
      <c r="AY30" s="1">
        <f>'DATA_RESPONDEN'!L700</f>
      </c>
      <c r="AZ30" s="1">
        <f>'DATA_RESPONDEN'!M700</f>
      </c>
      <c r="BA30" s="1">
        <f>'DATA_RESPONDEN'!N700</f>
      </c>
      <c r="BB30" s="1">
        <f>'DATA_RESPONDEN'!L741</f>
      </c>
      <c r="BC30" s="1">
        <f>'DATA_RESPONDEN'!M741</f>
      </c>
      <c r="BD30" s="1">
        <f>'DATA_RESPONDEN'!N741</f>
      </c>
      <c r="BE30" s="1">
        <f>'DATA_RESPONDEN'!L782</f>
      </c>
      <c r="BF30" s="1">
        <f>'DATA_RESPONDEN'!M782</f>
      </c>
      <c r="BG30" s="1">
        <f>'DATA_RESPONDEN'!N782</f>
      </c>
      <c r="BH30" s="1">
        <f>'DATA_RESPONDEN'!L823</f>
      </c>
      <c r="BI30" s="1">
        <f>'DATA_RESPONDEN'!M823</f>
      </c>
      <c r="BJ30" s="1">
        <f>'DATA_RESPONDEN'!N823</f>
      </c>
      <c r="BK30" s="1">
        <f>'DATA_RESPONDEN'!L864</f>
      </c>
      <c r="BL30" s="1">
        <f>'DATA_RESPONDEN'!M864</f>
      </c>
      <c r="BM30" s="1">
        <f>'DATA_RESPONDEN'!N864</f>
      </c>
      <c r="BN30" s="2">
        <f>PRODUCT(C30,F30,I30,L30,O30,R30,U30,X30,AA30,AD30,AG30,AJ30,AM30,AP30,AS30,AV30,AY30,BB30,BE30,BH30,BK30)</f>
      </c>
      <c r="BO30" s="2">
        <f>PRODUCT(D30,G30,J30,M30,P30,S30,V30,Y30,AB30,AE30,AH30,AK30,AN30,AQ30,AT30,AW30,AZ30,BC30,BF30,BI30,BL30)</f>
      </c>
      <c r="BP30" s="2">
        <f>PRODUCT(E30,H30,K30,N30,Q30,T30,W30,Z30,AC30,AF30,AI30,AL30,AO30,AR30,AU30,AX30,BA30,BD30,BG30,BJ30,BM30)</f>
      </c>
      <c r="BQ30" s="1">
        <f>POWER(BN30,1/21)</f>
      </c>
      <c r="BR30" s="1">
        <f>POWER(BO30,1/21)</f>
      </c>
      <c r="BS30" s="1">
        <f>POWER(BP30,1/21)</f>
      </c>
    </row>
    <row r="31">
      <c r="A31">
        <v>25</v>
      </c>
      <c r="B31" t="str">
        <v>CP4_vs_CP8</v>
      </c>
      <c r="C31" s="1">
        <f>'DATA_RESPONDEN'!L45</f>
      </c>
      <c r="D31" s="1">
        <f>'DATA_RESPONDEN'!M45</f>
      </c>
      <c r="E31" s="1">
        <f>'DATA_RESPONDEN'!N45</f>
      </c>
      <c r="F31" s="1">
        <f>'DATA_RESPONDEN'!L86</f>
      </c>
      <c r="G31" s="1">
        <f>'DATA_RESPONDEN'!M86</f>
      </c>
      <c r="H31" s="1">
        <f>'DATA_RESPONDEN'!N86</f>
      </c>
      <c r="I31" s="1">
        <f>'DATA_RESPONDEN'!L127</f>
      </c>
      <c r="J31" s="1">
        <f>'DATA_RESPONDEN'!M127</f>
      </c>
      <c r="K31" s="1">
        <f>'DATA_RESPONDEN'!N127</f>
      </c>
      <c r="L31" s="1">
        <f>'DATA_RESPONDEN'!L168</f>
      </c>
      <c r="M31" s="1">
        <f>'DATA_RESPONDEN'!M168</f>
      </c>
      <c r="N31" s="1">
        <f>'DATA_RESPONDEN'!N168</f>
      </c>
      <c r="O31" s="1">
        <f>'DATA_RESPONDEN'!L209</f>
      </c>
      <c r="P31" s="1">
        <f>'DATA_RESPONDEN'!M209</f>
      </c>
      <c r="Q31" s="1">
        <f>'DATA_RESPONDEN'!N209</f>
      </c>
      <c r="R31" s="1">
        <f>'DATA_RESPONDEN'!L250</f>
      </c>
      <c r="S31" s="1">
        <f>'DATA_RESPONDEN'!M250</f>
      </c>
      <c r="T31" s="1">
        <f>'DATA_RESPONDEN'!N250</f>
      </c>
      <c r="U31" s="1">
        <f>'DATA_RESPONDEN'!L291</f>
      </c>
      <c r="V31" s="1">
        <f>'DATA_RESPONDEN'!M291</f>
      </c>
      <c r="W31" s="1">
        <f>'DATA_RESPONDEN'!N291</f>
      </c>
      <c r="X31" s="1">
        <f>'DATA_RESPONDEN'!L332</f>
      </c>
      <c r="Y31" s="1">
        <f>'DATA_RESPONDEN'!M332</f>
      </c>
      <c r="Z31" s="1">
        <f>'DATA_RESPONDEN'!N332</f>
      </c>
      <c r="AA31" s="1">
        <f>'DATA_RESPONDEN'!L373</f>
      </c>
      <c r="AB31" s="1">
        <f>'DATA_RESPONDEN'!M373</f>
      </c>
      <c r="AC31" s="1">
        <f>'DATA_RESPONDEN'!N373</f>
      </c>
      <c r="AD31" s="1">
        <f>'DATA_RESPONDEN'!L414</f>
      </c>
      <c r="AE31" s="1">
        <f>'DATA_RESPONDEN'!M414</f>
      </c>
      <c r="AF31" s="1">
        <f>'DATA_RESPONDEN'!N414</f>
      </c>
      <c r="AG31" s="1">
        <f>'DATA_RESPONDEN'!L455</f>
      </c>
      <c r="AH31" s="1">
        <f>'DATA_RESPONDEN'!M455</f>
      </c>
      <c r="AI31" s="1">
        <f>'DATA_RESPONDEN'!N455</f>
      </c>
      <c r="AJ31" s="1">
        <f>'DATA_RESPONDEN'!L496</f>
      </c>
      <c r="AK31" s="1">
        <f>'DATA_RESPONDEN'!M496</f>
      </c>
      <c r="AL31" s="1">
        <f>'DATA_RESPONDEN'!N496</f>
      </c>
      <c r="AM31" s="1">
        <f>'DATA_RESPONDEN'!L537</f>
      </c>
      <c r="AN31" s="1">
        <f>'DATA_RESPONDEN'!M537</f>
      </c>
      <c r="AO31" s="1">
        <f>'DATA_RESPONDEN'!N537</f>
      </c>
      <c r="AP31" s="1">
        <f>'DATA_RESPONDEN'!L578</f>
      </c>
      <c r="AQ31" s="1">
        <f>'DATA_RESPONDEN'!M578</f>
      </c>
      <c r="AR31" s="1">
        <f>'DATA_RESPONDEN'!N578</f>
      </c>
      <c r="AS31" s="1">
        <f>'DATA_RESPONDEN'!L619</f>
      </c>
      <c r="AT31" s="1">
        <f>'DATA_RESPONDEN'!M619</f>
      </c>
      <c r="AU31" s="1">
        <f>'DATA_RESPONDEN'!N619</f>
      </c>
      <c r="AV31" s="1">
        <f>'DATA_RESPONDEN'!L660</f>
      </c>
      <c r="AW31" s="1">
        <f>'DATA_RESPONDEN'!M660</f>
      </c>
      <c r="AX31" s="1">
        <f>'DATA_RESPONDEN'!N660</f>
      </c>
      <c r="AY31" s="1">
        <f>'DATA_RESPONDEN'!L701</f>
      </c>
      <c r="AZ31" s="1">
        <f>'DATA_RESPONDEN'!M701</f>
      </c>
      <c r="BA31" s="1">
        <f>'DATA_RESPONDEN'!N701</f>
      </c>
      <c r="BB31" s="1">
        <f>'DATA_RESPONDEN'!L742</f>
      </c>
      <c r="BC31" s="1">
        <f>'DATA_RESPONDEN'!M742</f>
      </c>
      <c r="BD31" s="1">
        <f>'DATA_RESPONDEN'!N742</f>
      </c>
      <c r="BE31" s="1">
        <f>'DATA_RESPONDEN'!L783</f>
      </c>
      <c r="BF31" s="1">
        <f>'DATA_RESPONDEN'!M783</f>
      </c>
      <c r="BG31" s="1">
        <f>'DATA_RESPONDEN'!N783</f>
      </c>
      <c r="BH31" s="1">
        <f>'DATA_RESPONDEN'!L824</f>
      </c>
      <c r="BI31" s="1">
        <f>'DATA_RESPONDEN'!M824</f>
      </c>
      <c r="BJ31" s="1">
        <f>'DATA_RESPONDEN'!N824</f>
      </c>
      <c r="BK31" s="1">
        <f>'DATA_RESPONDEN'!L865</f>
      </c>
      <c r="BL31" s="1">
        <f>'DATA_RESPONDEN'!M865</f>
      </c>
      <c r="BM31" s="1">
        <f>'DATA_RESPONDEN'!N865</f>
      </c>
      <c r="BN31" s="2">
        <f>PRODUCT(C31,F31,I31,L31,O31,R31,U31,X31,AA31,AD31,AG31,AJ31,AM31,AP31,AS31,AV31,AY31,BB31,BE31,BH31,BK31)</f>
      </c>
      <c r="BO31" s="2">
        <f>PRODUCT(D31,G31,J31,M31,P31,S31,V31,Y31,AB31,AE31,AH31,AK31,AN31,AQ31,AT31,AW31,AZ31,BC31,BF31,BI31,BL31)</f>
      </c>
      <c r="BP31" s="2">
        <f>PRODUCT(E31,H31,K31,N31,Q31,T31,W31,Z31,AC31,AF31,AI31,AL31,AO31,AR31,AU31,AX31,BA31,BD31,BG31,BJ31,BM31)</f>
      </c>
      <c r="BQ31" s="1">
        <f>POWER(BN31,1/21)</f>
      </c>
      <c r="BR31" s="1">
        <f>POWER(BO31,1/21)</f>
      </c>
      <c r="BS31" s="1">
        <f>POWER(BP31,1/21)</f>
      </c>
    </row>
    <row r="32">
      <c r="A32">
        <v>26</v>
      </c>
      <c r="B32" t="str">
        <v>CP4_vs_CP9</v>
      </c>
      <c r="C32" s="1">
        <f>'DATA_RESPONDEN'!L46</f>
      </c>
      <c r="D32" s="1">
        <f>'DATA_RESPONDEN'!M46</f>
      </c>
      <c r="E32" s="1">
        <f>'DATA_RESPONDEN'!N46</f>
      </c>
      <c r="F32" s="1">
        <f>'DATA_RESPONDEN'!L87</f>
      </c>
      <c r="G32" s="1">
        <f>'DATA_RESPONDEN'!M87</f>
      </c>
      <c r="H32" s="1">
        <f>'DATA_RESPONDEN'!N87</f>
      </c>
      <c r="I32" s="1">
        <f>'DATA_RESPONDEN'!L128</f>
      </c>
      <c r="J32" s="1">
        <f>'DATA_RESPONDEN'!M128</f>
      </c>
      <c r="K32" s="1">
        <f>'DATA_RESPONDEN'!N128</f>
      </c>
      <c r="L32" s="1">
        <f>'DATA_RESPONDEN'!L169</f>
      </c>
      <c r="M32" s="1">
        <f>'DATA_RESPONDEN'!M169</f>
      </c>
      <c r="N32" s="1">
        <f>'DATA_RESPONDEN'!N169</f>
      </c>
      <c r="O32" s="1">
        <f>'DATA_RESPONDEN'!L210</f>
      </c>
      <c r="P32" s="1">
        <f>'DATA_RESPONDEN'!M210</f>
      </c>
      <c r="Q32" s="1">
        <f>'DATA_RESPONDEN'!N210</f>
      </c>
      <c r="R32" s="1">
        <f>'DATA_RESPONDEN'!L251</f>
      </c>
      <c r="S32" s="1">
        <f>'DATA_RESPONDEN'!M251</f>
      </c>
      <c r="T32" s="1">
        <f>'DATA_RESPONDEN'!N251</f>
      </c>
      <c r="U32" s="1">
        <f>'DATA_RESPONDEN'!L292</f>
      </c>
      <c r="V32" s="1">
        <f>'DATA_RESPONDEN'!M292</f>
      </c>
      <c r="W32" s="1">
        <f>'DATA_RESPONDEN'!N292</f>
      </c>
      <c r="X32" s="1">
        <f>'DATA_RESPONDEN'!L333</f>
      </c>
      <c r="Y32" s="1">
        <f>'DATA_RESPONDEN'!M333</f>
      </c>
      <c r="Z32" s="1">
        <f>'DATA_RESPONDEN'!N333</f>
      </c>
      <c r="AA32" s="1">
        <f>'DATA_RESPONDEN'!L374</f>
      </c>
      <c r="AB32" s="1">
        <f>'DATA_RESPONDEN'!M374</f>
      </c>
      <c r="AC32" s="1">
        <f>'DATA_RESPONDEN'!N374</f>
      </c>
      <c r="AD32" s="1">
        <f>'DATA_RESPONDEN'!L415</f>
      </c>
      <c r="AE32" s="1">
        <f>'DATA_RESPONDEN'!M415</f>
      </c>
      <c r="AF32" s="1">
        <f>'DATA_RESPONDEN'!N415</f>
      </c>
      <c r="AG32" s="1">
        <f>'DATA_RESPONDEN'!L456</f>
      </c>
      <c r="AH32" s="1">
        <f>'DATA_RESPONDEN'!M456</f>
      </c>
      <c r="AI32" s="1">
        <f>'DATA_RESPONDEN'!N456</f>
      </c>
      <c r="AJ32" s="1">
        <f>'DATA_RESPONDEN'!L497</f>
      </c>
      <c r="AK32" s="1">
        <f>'DATA_RESPONDEN'!M497</f>
      </c>
      <c r="AL32" s="1">
        <f>'DATA_RESPONDEN'!N497</f>
      </c>
      <c r="AM32" s="1">
        <f>'DATA_RESPONDEN'!L538</f>
      </c>
      <c r="AN32" s="1">
        <f>'DATA_RESPONDEN'!M538</f>
      </c>
      <c r="AO32" s="1">
        <f>'DATA_RESPONDEN'!N538</f>
      </c>
      <c r="AP32" s="1">
        <f>'DATA_RESPONDEN'!L579</f>
      </c>
      <c r="AQ32" s="1">
        <f>'DATA_RESPONDEN'!M579</f>
      </c>
      <c r="AR32" s="1">
        <f>'DATA_RESPONDEN'!N579</f>
      </c>
      <c r="AS32" s="1">
        <f>'DATA_RESPONDEN'!L620</f>
      </c>
      <c r="AT32" s="1">
        <f>'DATA_RESPONDEN'!M620</f>
      </c>
      <c r="AU32" s="1">
        <f>'DATA_RESPONDEN'!N620</f>
      </c>
      <c r="AV32" s="1">
        <f>'DATA_RESPONDEN'!L661</f>
      </c>
      <c r="AW32" s="1">
        <f>'DATA_RESPONDEN'!M661</f>
      </c>
      <c r="AX32" s="1">
        <f>'DATA_RESPONDEN'!N661</f>
      </c>
      <c r="AY32" s="1">
        <f>'DATA_RESPONDEN'!L702</f>
      </c>
      <c r="AZ32" s="1">
        <f>'DATA_RESPONDEN'!M702</f>
      </c>
      <c r="BA32" s="1">
        <f>'DATA_RESPONDEN'!N702</f>
      </c>
      <c r="BB32" s="1">
        <f>'DATA_RESPONDEN'!L743</f>
      </c>
      <c r="BC32" s="1">
        <f>'DATA_RESPONDEN'!M743</f>
      </c>
      <c r="BD32" s="1">
        <f>'DATA_RESPONDEN'!N743</f>
      </c>
      <c r="BE32" s="1">
        <f>'DATA_RESPONDEN'!L784</f>
      </c>
      <c r="BF32" s="1">
        <f>'DATA_RESPONDEN'!M784</f>
      </c>
      <c r="BG32" s="1">
        <f>'DATA_RESPONDEN'!N784</f>
      </c>
      <c r="BH32" s="1">
        <f>'DATA_RESPONDEN'!L825</f>
      </c>
      <c r="BI32" s="1">
        <f>'DATA_RESPONDEN'!M825</f>
      </c>
      <c r="BJ32" s="1">
        <f>'DATA_RESPONDEN'!N825</f>
      </c>
      <c r="BK32" s="1">
        <f>'DATA_RESPONDEN'!L866</f>
      </c>
      <c r="BL32" s="1">
        <f>'DATA_RESPONDEN'!M866</f>
      </c>
      <c r="BM32" s="1">
        <f>'DATA_RESPONDEN'!N866</f>
      </c>
      <c r="BN32" s="2">
        <f>PRODUCT(C32,F32,I32,L32,O32,R32,U32,X32,AA32,AD32,AG32,AJ32,AM32,AP32,AS32,AV32,AY32,BB32,BE32,BH32,BK32)</f>
      </c>
      <c r="BO32" s="2">
        <f>PRODUCT(D32,G32,J32,M32,P32,S32,V32,Y32,AB32,AE32,AH32,AK32,AN32,AQ32,AT32,AW32,AZ32,BC32,BF32,BI32,BL32)</f>
      </c>
      <c r="BP32" s="2">
        <f>PRODUCT(E32,H32,K32,N32,Q32,T32,W32,Z32,AC32,AF32,AI32,AL32,AO32,AR32,AU32,AX32,BA32,BD32,BG32,BJ32,BM32)</f>
      </c>
      <c r="BQ32" s="1">
        <f>POWER(BN32,1/21)</f>
      </c>
      <c r="BR32" s="1">
        <f>POWER(BO32,1/21)</f>
      </c>
      <c r="BS32" s="1">
        <f>POWER(BP32,1/21)</f>
      </c>
    </row>
    <row r="33">
      <c r="A33">
        <v>27</v>
      </c>
      <c r="B33" t="str">
        <v>CP5_vs_CP6</v>
      </c>
      <c r="C33" s="1">
        <f>'DATA_RESPONDEN'!L47</f>
      </c>
      <c r="D33" s="1">
        <f>'DATA_RESPONDEN'!M47</f>
      </c>
      <c r="E33" s="1">
        <f>'DATA_RESPONDEN'!N47</f>
      </c>
      <c r="F33" s="1">
        <f>'DATA_RESPONDEN'!L88</f>
      </c>
      <c r="G33" s="1">
        <f>'DATA_RESPONDEN'!M88</f>
      </c>
      <c r="H33" s="1">
        <f>'DATA_RESPONDEN'!N88</f>
      </c>
      <c r="I33" s="1">
        <f>'DATA_RESPONDEN'!L129</f>
      </c>
      <c r="J33" s="1">
        <f>'DATA_RESPONDEN'!M129</f>
      </c>
      <c r="K33" s="1">
        <f>'DATA_RESPONDEN'!N129</f>
      </c>
      <c r="L33" s="1">
        <f>'DATA_RESPONDEN'!L170</f>
      </c>
      <c r="M33" s="1">
        <f>'DATA_RESPONDEN'!M170</f>
      </c>
      <c r="N33" s="1">
        <f>'DATA_RESPONDEN'!N170</f>
      </c>
      <c r="O33" s="1">
        <f>'DATA_RESPONDEN'!L211</f>
      </c>
      <c r="P33" s="1">
        <f>'DATA_RESPONDEN'!M211</f>
      </c>
      <c r="Q33" s="1">
        <f>'DATA_RESPONDEN'!N211</f>
      </c>
      <c r="R33" s="1">
        <f>'DATA_RESPONDEN'!L252</f>
      </c>
      <c r="S33" s="1">
        <f>'DATA_RESPONDEN'!M252</f>
      </c>
      <c r="T33" s="1">
        <f>'DATA_RESPONDEN'!N252</f>
      </c>
      <c r="U33" s="1">
        <f>'DATA_RESPONDEN'!L293</f>
      </c>
      <c r="V33" s="1">
        <f>'DATA_RESPONDEN'!M293</f>
      </c>
      <c r="W33" s="1">
        <f>'DATA_RESPONDEN'!N293</f>
      </c>
      <c r="X33" s="1">
        <f>'DATA_RESPONDEN'!L334</f>
      </c>
      <c r="Y33" s="1">
        <f>'DATA_RESPONDEN'!M334</f>
      </c>
      <c r="Z33" s="1">
        <f>'DATA_RESPONDEN'!N334</f>
      </c>
      <c r="AA33" s="1">
        <f>'DATA_RESPONDEN'!L375</f>
      </c>
      <c r="AB33" s="1">
        <f>'DATA_RESPONDEN'!M375</f>
      </c>
      <c r="AC33" s="1">
        <f>'DATA_RESPONDEN'!N375</f>
      </c>
      <c r="AD33" s="1">
        <f>'DATA_RESPONDEN'!L416</f>
      </c>
      <c r="AE33" s="1">
        <f>'DATA_RESPONDEN'!M416</f>
      </c>
      <c r="AF33" s="1">
        <f>'DATA_RESPONDEN'!N416</f>
      </c>
      <c r="AG33" s="1">
        <f>'DATA_RESPONDEN'!L457</f>
      </c>
      <c r="AH33" s="1">
        <f>'DATA_RESPONDEN'!M457</f>
      </c>
      <c r="AI33" s="1">
        <f>'DATA_RESPONDEN'!N457</f>
      </c>
      <c r="AJ33" s="1">
        <f>'DATA_RESPONDEN'!L498</f>
      </c>
      <c r="AK33" s="1">
        <f>'DATA_RESPONDEN'!M498</f>
      </c>
      <c r="AL33" s="1">
        <f>'DATA_RESPONDEN'!N498</f>
      </c>
      <c r="AM33" s="1">
        <f>'DATA_RESPONDEN'!L539</f>
      </c>
      <c r="AN33" s="1">
        <f>'DATA_RESPONDEN'!M539</f>
      </c>
      <c r="AO33" s="1">
        <f>'DATA_RESPONDEN'!N539</f>
      </c>
      <c r="AP33" s="1">
        <f>'DATA_RESPONDEN'!L580</f>
      </c>
      <c r="AQ33" s="1">
        <f>'DATA_RESPONDEN'!M580</f>
      </c>
      <c r="AR33" s="1">
        <f>'DATA_RESPONDEN'!N580</f>
      </c>
      <c r="AS33" s="1">
        <f>'DATA_RESPONDEN'!L621</f>
      </c>
      <c r="AT33" s="1">
        <f>'DATA_RESPONDEN'!M621</f>
      </c>
      <c r="AU33" s="1">
        <f>'DATA_RESPONDEN'!N621</f>
      </c>
      <c r="AV33" s="1">
        <f>'DATA_RESPONDEN'!L662</f>
      </c>
      <c r="AW33" s="1">
        <f>'DATA_RESPONDEN'!M662</f>
      </c>
      <c r="AX33" s="1">
        <f>'DATA_RESPONDEN'!N662</f>
      </c>
      <c r="AY33" s="1">
        <f>'DATA_RESPONDEN'!L703</f>
      </c>
      <c r="AZ33" s="1">
        <f>'DATA_RESPONDEN'!M703</f>
      </c>
      <c r="BA33" s="1">
        <f>'DATA_RESPONDEN'!N703</f>
      </c>
      <c r="BB33" s="1">
        <f>'DATA_RESPONDEN'!L744</f>
      </c>
      <c r="BC33" s="1">
        <f>'DATA_RESPONDEN'!M744</f>
      </c>
      <c r="BD33" s="1">
        <f>'DATA_RESPONDEN'!N744</f>
      </c>
      <c r="BE33" s="1">
        <f>'DATA_RESPONDEN'!L785</f>
      </c>
      <c r="BF33" s="1">
        <f>'DATA_RESPONDEN'!M785</f>
      </c>
      <c r="BG33" s="1">
        <f>'DATA_RESPONDEN'!N785</f>
      </c>
      <c r="BH33" s="1">
        <f>'DATA_RESPONDEN'!L826</f>
      </c>
      <c r="BI33" s="1">
        <f>'DATA_RESPONDEN'!M826</f>
      </c>
      <c r="BJ33" s="1">
        <f>'DATA_RESPONDEN'!N826</f>
      </c>
      <c r="BK33" s="1">
        <f>'DATA_RESPONDEN'!L867</f>
      </c>
      <c r="BL33" s="1">
        <f>'DATA_RESPONDEN'!M867</f>
      </c>
      <c r="BM33" s="1">
        <f>'DATA_RESPONDEN'!N867</f>
      </c>
      <c r="BN33" s="2">
        <f>PRODUCT(C33,F33,I33,L33,O33,R33,U33,X33,AA33,AD33,AG33,AJ33,AM33,AP33,AS33,AV33,AY33,BB33,BE33,BH33,BK33)</f>
      </c>
      <c r="BO33" s="2">
        <f>PRODUCT(D33,G33,J33,M33,P33,S33,V33,Y33,AB33,AE33,AH33,AK33,AN33,AQ33,AT33,AW33,AZ33,BC33,BF33,BI33,BL33)</f>
      </c>
      <c r="BP33" s="2">
        <f>PRODUCT(E33,H33,K33,N33,Q33,T33,W33,Z33,AC33,AF33,AI33,AL33,AO33,AR33,AU33,AX33,BA33,BD33,BG33,BJ33,BM33)</f>
      </c>
      <c r="BQ33" s="1">
        <f>POWER(BN33,1/21)</f>
      </c>
      <c r="BR33" s="1">
        <f>POWER(BO33,1/21)</f>
      </c>
      <c r="BS33" s="1">
        <f>POWER(BP33,1/21)</f>
      </c>
    </row>
    <row r="34">
      <c r="A34">
        <v>28</v>
      </c>
      <c r="B34" t="str">
        <v>CP5_vs_CP7</v>
      </c>
      <c r="C34" s="1">
        <f>'DATA_RESPONDEN'!L48</f>
      </c>
      <c r="D34" s="1">
        <f>'DATA_RESPONDEN'!M48</f>
      </c>
      <c r="E34" s="1">
        <f>'DATA_RESPONDEN'!N48</f>
      </c>
      <c r="F34" s="1">
        <f>'DATA_RESPONDEN'!L89</f>
      </c>
      <c r="G34" s="1">
        <f>'DATA_RESPONDEN'!M89</f>
      </c>
      <c r="H34" s="1">
        <f>'DATA_RESPONDEN'!N89</f>
      </c>
      <c r="I34" s="1">
        <f>'DATA_RESPONDEN'!L130</f>
      </c>
      <c r="J34" s="1">
        <f>'DATA_RESPONDEN'!M130</f>
      </c>
      <c r="K34" s="1">
        <f>'DATA_RESPONDEN'!N130</f>
      </c>
      <c r="L34" s="1">
        <f>'DATA_RESPONDEN'!L171</f>
      </c>
      <c r="M34" s="1">
        <f>'DATA_RESPONDEN'!M171</f>
      </c>
      <c r="N34" s="1">
        <f>'DATA_RESPONDEN'!N171</f>
      </c>
      <c r="O34" s="1">
        <f>'DATA_RESPONDEN'!L212</f>
      </c>
      <c r="P34" s="1">
        <f>'DATA_RESPONDEN'!M212</f>
      </c>
      <c r="Q34" s="1">
        <f>'DATA_RESPONDEN'!N212</f>
      </c>
      <c r="R34" s="1">
        <f>'DATA_RESPONDEN'!L253</f>
      </c>
      <c r="S34" s="1">
        <f>'DATA_RESPONDEN'!M253</f>
      </c>
      <c r="T34" s="1">
        <f>'DATA_RESPONDEN'!N253</f>
      </c>
      <c r="U34" s="1">
        <f>'DATA_RESPONDEN'!L294</f>
      </c>
      <c r="V34" s="1">
        <f>'DATA_RESPONDEN'!M294</f>
      </c>
      <c r="W34" s="1">
        <f>'DATA_RESPONDEN'!N294</f>
      </c>
      <c r="X34" s="1">
        <f>'DATA_RESPONDEN'!L335</f>
      </c>
      <c r="Y34" s="1">
        <f>'DATA_RESPONDEN'!M335</f>
      </c>
      <c r="Z34" s="1">
        <f>'DATA_RESPONDEN'!N335</f>
      </c>
      <c r="AA34" s="1">
        <f>'DATA_RESPONDEN'!L376</f>
      </c>
      <c r="AB34" s="1">
        <f>'DATA_RESPONDEN'!M376</f>
      </c>
      <c r="AC34" s="1">
        <f>'DATA_RESPONDEN'!N376</f>
      </c>
      <c r="AD34" s="1">
        <f>'DATA_RESPONDEN'!L417</f>
      </c>
      <c r="AE34" s="1">
        <f>'DATA_RESPONDEN'!M417</f>
      </c>
      <c r="AF34" s="1">
        <f>'DATA_RESPONDEN'!N417</f>
      </c>
      <c r="AG34" s="1">
        <f>'DATA_RESPONDEN'!L458</f>
      </c>
      <c r="AH34" s="1">
        <f>'DATA_RESPONDEN'!M458</f>
      </c>
      <c r="AI34" s="1">
        <f>'DATA_RESPONDEN'!N458</f>
      </c>
      <c r="AJ34" s="1">
        <f>'DATA_RESPONDEN'!L499</f>
      </c>
      <c r="AK34" s="1">
        <f>'DATA_RESPONDEN'!M499</f>
      </c>
      <c r="AL34" s="1">
        <f>'DATA_RESPONDEN'!N499</f>
      </c>
      <c r="AM34" s="1">
        <f>'DATA_RESPONDEN'!L540</f>
      </c>
      <c r="AN34" s="1">
        <f>'DATA_RESPONDEN'!M540</f>
      </c>
      <c r="AO34" s="1">
        <f>'DATA_RESPONDEN'!N540</f>
      </c>
      <c r="AP34" s="1">
        <f>'DATA_RESPONDEN'!L581</f>
      </c>
      <c r="AQ34" s="1">
        <f>'DATA_RESPONDEN'!M581</f>
      </c>
      <c r="AR34" s="1">
        <f>'DATA_RESPONDEN'!N581</f>
      </c>
      <c r="AS34" s="1">
        <f>'DATA_RESPONDEN'!L622</f>
      </c>
      <c r="AT34" s="1">
        <f>'DATA_RESPONDEN'!M622</f>
      </c>
      <c r="AU34" s="1">
        <f>'DATA_RESPONDEN'!N622</f>
      </c>
      <c r="AV34" s="1">
        <f>'DATA_RESPONDEN'!L663</f>
      </c>
      <c r="AW34" s="1">
        <f>'DATA_RESPONDEN'!M663</f>
      </c>
      <c r="AX34" s="1">
        <f>'DATA_RESPONDEN'!N663</f>
      </c>
      <c r="AY34" s="1">
        <f>'DATA_RESPONDEN'!L704</f>
      </c>
      <c r="AZ34" s="1">
        <f>'DATA_RESPONDEN'!M704</f>
      </c>
      <c r="BA34" s="1">
        <f>'DATA_RESPONDEN'!N704</f>
      </c>
      <c r="BB34" s="1">
        <f>'DATA_RESPONDEN'!L745</f>
      </c>
      <c r="BC34" s="1">
        <f>'DATA_RESPONDEN'!M745</f>
      </c>
      <c r="BD34" s="1">
        <f>'DATA_RESPONDEN'!N745</f>
      </c>
      <c r="BE34" s="1">
        <f>'DATA_RESPONDEN'!L786</f>
      </c>
      <c r="BF34" s="1">
        <f>'DATA_RESPONDEN'!M786</f>
      </c>
      <c r="BG34" s="1">
        <f>'DATA_RESPONDEN'!N786</f>
      </c>
      <c r="BH34" s="1">
        <f>'DATA_RESPONDEN'!L827</f>
      </c>
      <c r="BI34" s="1">
        <f>'DATA_RESPONDEN'!M827</f>
      </c>
      <c r="BJ34" s="1">
        <f>'DATA_RESPONDEN'!N827</f>
      </c>
      <c r="BK34" s="1">
        <f>'DATA_RESPONDEN'!L868</f>
      </c>
      <c r="BL34" s="1">
        <f>'DATA_RESPONDEN'!M868</f>
      </c>
      <c r="BM34" s="1">
        <f>'DATA_RESPONDEN'!N868</f>
      </c>
      <c r="BN34" s="2">
        <f>PRODUCT(C34,F34,I34,L34,O34,R34,U34,X34,AA34,AD34,AG34,AJ34,AM34,AP34,AS34,AV34,AY34,BB34,BE34,BH34,BK34)</f>
      </c>
      <c r="BO34" s="2">
        <f>PRODUCT(D34,G34,J34,M34,P34,S34,V34,Y34,AB34,AE34,AH34,AK34,AN34,AQ34,AT34,AW34,AZ34,BC34,BF34,BI34,BL34)</f>
      </c>
      <c r="BP34" s="2">
        <f>PRODUCT(E34,H34,K34,N34,Q34,T34,W34,Z34,AC34,AF34,AI34,AL34,AO34,AR34,AU34,AX34,BA34,BD34,BG34,BJ34,BM34)</f>
      </c>
      <c r="BQ34" s="1">
        <f>POWER(BN34,1/21)</f>
      </c>
      <c r="BR34" s="1">
        <f>POWER(BO34,1/21)</f>
      </c>
      <c r="BS34" s="1">
        <f>POWER(BP34,1/21)</f>
      </c>
    </row>
    <row r="35">
      <c r="A35">
        <v>29</v>
      </c>
      <c r="B35" t="str">
        <v>CP5_vs_CP8</v>
      </c>
      <c r="C35" s="1">
        <f>'DATA_RESPONDEN'!L49</f>
      </c>
      <c r="D35" s="1">
        <f>'DATA_RESPONDEN'!M49</f>
      </c>
      <c r="E35" s="1">
        <f>'DATA_RESPONDEN'!N49</f>
      </c>
      <c r="F35" s="1">
        <f>'DATA_RESPONDEN'!L90</f>
      </c>
      <c r="G35" s="1">
        <f>'DATA_RESPONDEN'!M90</f>
      </c>
      <c r="H35" s="1">
        <f>'DATA_RESPONDEN'!N90</f>
      </c>
      <c r="I35" s="1">
        <f>'DATA_RESPONDEN'!L131</f>
      </c>
      <c r="J35" s="1">
        <f>'DATA_RESPONDEN'!M131</f>
      </c>
      <c r="K35" s="1">
        <f>'DATA_RESPONDEN'!N131</f>
      </c>
      <c r="L35" s="1">
        <f>'DATA_RESPONDEN'!L172</f>
      </c>
      <c r="M35" s="1">
        <f>'DATA_RESPONDEN'!M172</f>
      </c>
      <c r="N35" s="1">
        <f>'DATA_RESPONDEN'!N172</f>
      </c>
      <c r="O35" s="1">
        <f>'DATA_RESPONDEN'!L213</f>
      </c>
      <c r="P35" s="1">
        <f>'DATA_RESPONDEN'!M213</f>
      </c>
      <c r="Q35" s="1">
        <f>'DATA_RESPONDEN'!N213</f>
      </c>
      <c r="R35" s="1">
        <f>'DATA_RESPONDEN'!L254</f>
      </c>
      <c r="S35" s="1">
        <f>'DATA_RESPONDEN'!M254</f>
      </c>
      <c r="T35" s="1">
        <f>'DATA_RESPONDEN'!N254</f>
      </c>
      <c r="U35" s="1">
        <f>'DATA_RESPONDEN'!L295</f>
      </c>
      <c r="V35" s="1">
        <f>'DATA_RESPONDEN'!M295</f>
      </c>
      <c r="W35" s="1">
        <f>'DATA_RESPONDEN'!N295</f>
      </c>
      <c r="X35" s="1">
        <f>'DATA_RESPONDEN'!L336</f>
      </c>
      <c r="Y35" s="1">
        <f>'DATA_RESPONDEN'!M336</f>
      </c>
      <c r="Z35" s="1">
        <f>'DATA_RESPONDEN'!N336</f>
      </c>
      <c r="AA35" s="1">
        <f>'DATA_RESPONDEN'!L377</f>
      </c>
      <c r="AB35" s="1">
        <f>'DATA_RESPONDEN'!M377</f>
      </c>
      <c r="AC35" s="1">
        <f>'DATA_RESPONDEN'!N377</f>
      </c>
      <c r="AD35" s="1">
        <f>'DATA_RESPONDEN'!L418</f>
      </c>
      <c r="AE35" s="1">
        <f>'DATA_RESPONDEN'!M418</f>
      </c>
      <c r="AF35" s="1">
        <f>'DATA_RESPONDEN'!N418</f>
      </c>
      <c r="AG35" s="1">
        <f>'DATA_RESPONDEN'!L459</f>
      </c>
      <c r="AH35" s="1">
        <f>'DATA_RESPONDEN'!M459</f>
      </c>
      <c r="AI35" s="1">
        <f>'DATA_RESPONDEN'!N459</f>
      </c>
      <c r="AJ35" s="1">
        <f>'DATA_RESPONDEN'!L500</f>
      </c>
      <c r="AK35" s="1">
        <f>'DATA_RESPONDEN'!M500</f>
      </c>
      <c r="AL35" s="1">
        <f>'DATA_RESPONDEN'!N500</f>
      </c>
      <c r="AM35" s="1">
        <f>'DATA_RESPONDEN'!L541</f>
      </c>
      <c r="AN35" s="1">
        <f>'DATA_RESPONDEN'!M541</f>
      </c>
      <c r="AO35" s="1">
        <f>'DATA_RESPONDEN'!N541</f>
      </c>
      <c r="AP35" s="1">
        <f>'DATA_RESPONDEN'!L582</f>
      </c>
      <c r="AQ35" s="1">
        <f>'DATA_RESPONDEN'!M582</f>
      </c>
      <c r="AR35" s="1">
        <f>'DATA_RESPONDEN'!N582</f>
      </c>
      <c r="AS35" s="1">
        <f>'DATA_RESPONDEN'!L623</f>
      </c>
      <c r="AT35" s="1">
        <f>'DATA_RESPONDEN'!M623</f>
      </c>
      <c r="AU35" s="1">
        <f>'DATA_RESPONDEN'!N623</f>
      </c>
      <c r="AV35" s="1">
        <f>'DATA_RESPONDEN'!L664</f>
      </c>
      <c r="AW35" s="1">
        <f>'DATA_RESPONDEN'!M664</f>
      </c>
      <c r="AX35" s="1">
        <f>'DATA_RESPONDEN'!N664</f>
      </c>
      <c r="AY35" s="1">
        <f>'DATA_RESPONDEN'!L705</f>
      </c>
      <c r="AZ35" s="1">
        <f>'DATA_RESPONDEN'!M705</f>
      </c>
      <c r="BA35" s="1">
        <f>'DATA_RESPONDEN'!N705</f>
      </c>
      <c r="BB35" s="1">
        <f>'DATA_RESPONDEN'!L746</f>
      </c>
      <c r="BC35" s="1">
        <f>'DATA_RESPONDEN'!M746</f>
      </c>
      <c r="BD35" s="1">
        <f>'DATA_RESPONDEN'!N746</f>
      </c>
      <c r="BE35" s="1">
        <f>'DATA_RESPONDEN'!L787</f>
      </c>
      <c r="BF35" s="1">
        <f>'DATA_RESPONDEN'!M787</f>
      </c>
      <c r="BG35" s="1">
        <f>'DATA_RESPONDEN'!N787</f>
      </c>
      <c r="BH35" s="1">
        <f>'DATA_RESPONDEN'!L828</f>
      </c>
      <c r="BI35" s="1">
        <f>'DATA_RESPONDEN'!M828</f>
      </c>
      <c r="BJ35" s="1">
        <f>'DATA_RESPONDEN'!N828</f>
      </c>
      <c r="BK35" s="1">
        <f>'DATA_RESPONDEN'!L869</f>
      </c>
      <c r="BL35" s="1">
        <f>'DATA_RESPONDEN'!M869</f>
      </c>
      <c r="BM35" s="1">
        <f>'DATA_RESPONDEN'!N869</f>
      </c>
      <c r="BN35" s="2">
        <f>PRODUCT(C35,F35,I35,L35,O35,R35,U35,X35,AA35,AD35,AG35,AJ35,AM35,AP35,AS35,AV35,AY35,BB35,BE35,BH35,BK35)</f>
      </c>
      <c r="BO35" s="2">
        <f>PRODUCT(D35,G35,J35,M35,P35,S35,V35,Y35,AB35,AE35,AH35,AK35,AN35,AQ35,AT35,AW35,AZ35,BC35,BF35,BI35,BL35)</f>
      </c>
      <c r="BP35" s="2">
        <f>PRODUCT(E35,H35,K35,N35,Q35,T35,W35,Z35,AC35,AF35,AI35,AL35,AO35,AR35,AU35,AX35,BA35,BD35,BG35,BJ35,BM35)</f>
      </c>
      <c r="BQ35" s="1">
        <f>POWER(BN35,1/21)</f>
      </c>
      <c r="BR35" s="1">
        <f>POWER(BO35,1/21)</f>
      </c>
      <c r="BS35" s="1">
        <f>POWER(BP35,1/21)</f>
      </c>
    </row>
    <row r="36">
      <c r="A36">
        <v>30</v>
      </c>
      <c r="B36" t="str">
        <v>CP5_vs_CP9</v>
      </c>
      <c r="C36" s="1">
        <f>'DATA_RESPONDEN'!L50</f>
      </c>
      <c r="D36" s="1">
        <f>'DATA_RESPONDEN'!M50</f>
      </c>
      <c r="E36" s="1">
        <f>'DATA_RESPONDEN'!N50</f>
      </c>
      <c r="F36" s="1">
        <f>'DATA_RESPONDEN'!L91</f>
      </c>
      <c r="G36" s="1">
        <f>'DATA_RESPONDEN'!M91</f>
      </c>
      <c r="H36" s="1">
        <f>'DATA_RESPONDEN'!N91</f>
      </c>
      <c r="I36" s="1">
        <f>'DATA_RESPONDEN'!L132</f>
      </c>
      <c r="J36" s="1">
        <f>'DATA_RESPONDEN'!M132</f>
      </c>
      <c r="K36" s="1">
        <f>'DATA_RESPONDEN'!N132</f>
      </c>
      <c r="L36" s="1">
        <f>'DATA_RESPONDEN'!L173</f>
      </c>
      <c r="M36" s="1">
        <f>'DATA_RESPONDEN'!M173</f>
      </c>
      <c r="N36" s="1">
        <f>'DATA_RESPONDEN'!N173</f>
      </c>
      <c r="O36" s="1">
        <f>'DATA_RESPONDEN'!L214</f>
      </c>
      <c r="P36" s="1">
        <f>'DATA_RESPONDEN'!M214</f>
      </c>
      <c r="Q36" s="1">
        <f>'DATA_RESPONDEN'!N214</f>
      </c>
      <c r="R36" s="1">
        <f>'DATA_RESPONDEN'!L255</f>
      </c>
      <c r="S36" s="1">
        <f>'DATA_RESPONDEN'!M255</f>
      </c>
      <c r="T36" s="1">
        <f>'DATA_RESPONDEN'!N255</f>
      </c>
      <c r="U36" s="1">
        <f>'DATA_RESPONDEN'!L296</f>
      </c>
      <c r="V36" s="1">
        <f>'DATA_RESPONDEN'!M296</f>
      </c>
      <c r="W36" s="1">
        <f>'DATA_RESPONDEN'!N296</f>
      </c>
      <c r="X36" s="1">
        <f>'DATA_RESPONDEN'!L337</f>
      </c>
      <c r="Y36" s="1">
        <f>'DATA_RESPONDEN'!M337</f>
      </c>
      <c r="Z36" s="1">
        <f>'DATA_RESPONDEN'!N337</f>
      </c>
      <c r="AA36" s="1">
        <f>'DATA_RESPONDEN'!L378</f>
      </c>
      <c r="AB36" s="1">
        <f>'DATA_RESPONDEN'!M378</f>
      </c>
      <c r="AC36" s="1">
        <f>'DATA_RESPONDEN'!N378</f>
      </c>
      <c r="AD36" s="1">
        <f>'DATA_RESPONDEN'!L419</f>
      </c>
      <c r="AE36" s="1">
        <f>'DATA_RESPONDEN'!M419</f>
      </c>
      <c r="AF36" s="1">
        <f>'DATA_RESPONDEN'!N419</f>
      </c>
      <c r="AG36" s="1">
        <f>'DATA_RESPONDEN'!L460</f>
      </c>
      <c r="AH36" s="1">
        <f>'DATA_RESPONDEN'!M460</f>
      </c>
      <c r="AI36" s="1">
        <f>'DATA_RESPONDEN'!N460</f>
      </c>
      <c r="AJ36" s="1">
        <f>'DATA_RESPONDEN'!L501</f>
      </c>
      <c r="AK36" s="1">
        <f>'DATA_RESPONDEN'!M501</f>
      </c>
      <c r="AL36" s="1">
        <f>'DATA_RESPONDEN'!N501</f>
      </c>
      <c r="AM36" s="1">
        <f>'DATA_RESPONDEN'!L542</f>
      </c>
      <c r="AN36" s="1">
        <f>'DATA_RESPONDEN'!M542</f>
      </c>
      <c r="AO36" s="1">
        <f>'DATA_RESPONDEN'!N542</f>
      </c>
      <c r="AP36" s="1">
        <f>'DATA_RESPONDEN'!L583</f>
      </c>
      <c r="AQ36" s="1">
        <f>'DATA_RESPONDEN'!M583</f>
      </c>
      <c r="AR36" s="1">
        <f>'DATA_RESPONDEN'!N583</f>
      </c>
      <c r="AS36" s="1">
        <f>'DATA_RESPONDEN'!L624</f>
      </c>
      <c r="AT36" s="1">
        <f>'DATA_RESPONDEN'!M624</f>
      </c>
      <c r="AU36" s="1">
        <f>'DATA_RESPONDEN'!N624</f>
      </c>
      <c r="AV36" s="1">
        <f>'DATA_RESPONDEN'!L665</f>
      </c>
      <c r="AW36" s="1">
        <f>'DATA_RESPONDEN'!M665</f>
      </c>
      <c r="AX36" s="1">
        <f>'DATA_RESPONDEN'!N665</f>
      </c>
      <c r="AY36" s="1">
        <f>'DATA_RESPONDEN'!L706</f>
      </c>
      <c r="AZ36" s="1">
        <f>'DATA_RESPONDEN'!M706</f>
      </c>
      <c r="BA36" s="1">
        <f>'DATA_RESPONDEN'!N706</f>
      </c>
      <c r="BB36" s="1">
        <f>'DATA_RESPONDEN'!L747</f>
      </c>
      <c r="BC36" s="1">
        <f>'DATA_RESPONDEN'!M747</f>
      </c>
      <c r="BD36" s="1">
        <f>'DATA_RESPONDEN'!N747</f>
      </c>
      <c r="BE36" s="1">
        <f>'DATA_RESPONDEN'!L788</f>
      </c>
      <c r="BF36" s="1">
        <f>'DATA_RESPONDEN'!M788</f>
      </c>
      <c r="BG36" s="1">
        <f>'DATA_RESPONDEN'!N788</f>
      </c>
      <c r="BH36" s="1">
        <f>'DATA_RESPONDEN'!L829</f>
      </c>
      <c r="BI36" s="1">
        <f>'DATA_RESPONDEN'!M829</f>
      </c>
      <c r="BJ36" s="1">
        <f>'DATA_RESPONDEN'!N829</f>
      </c>
      <c r="BK36" s="1">
        <f>'DATA_RESPONDEN'!L870</f>
      </c>
      <c r="BL36" s="1">
        <f>'DATA_RESPONDEN'!M870</f>
      </c>
      <c r="BM36" s="1">
        <f>'DATA_RESPONDEN'!N870</f>
      </c>
      <c r="BN36" s="2">
        <f>PRODUCT(C36,F36,I36,L36,O36,R36,U36,X36,AA36,AD36,AG36,AJ36,AM36,AP36,AS36,AV36,AY36,BB36,BE36,BH36,BK36)</f>
      </c>
      <c r="BO36" s="2">
        <f>PRODUCT(D36,G36,J36,M36,P36,S36,V36,Y36,AB36,AE36,AH36,AK36,AN36,AQ36,AT36,AW36,AZ36,BC36,BF36,BI36,BL36)</f>
      </c>
      <c r="BP36" s="2">
        <f>PRODUCT(E36,H36,K36,N36,Q36,T36,W36,Z36,AC36,AF36,AI36,AL36,AO36,AR36,AU36,AX36,BA36,BD36,BG36,BJ36,BM36)</f>
      </c>
      <c r="BQ36" s="1">
        <f>POWER(BN36,1/21)</f>
      </c>
      <c r="BR36" s="1">
        <f>POWER(BO36,1/21)</f>
      </c>
      <c r="BS36" s="1">
        <f>POWER(BP36,1/21)</f>
      </c>
    </row>
    <row r="37">
      <c r="A37">
        <v>31</v>
      </c>
      <c r="B37" t="str">
        <v>CP6_vs_CP7</v>
      </c>
      <c r="C37" s="1">
        <f>'DATA_RESPONDEN'!L51</f>
      </c>
      <c r="D37" s="1">
        <f>'DATA_RESPONDEN'!M51</f>
      </c>
      <c r="E37" s="1">
        <f>'DATA_RESPONDEN'!N51</f>
      </c>
      <c r="F37" s="1">
        <f>'DATA_RESPONDEN'!L92</f>
      </c>
      <c r="G37" s="1">
        <f>'DATA_RESPONDEN'!M92</f>
      </c>
      <c r="H37" s="1">
        <f>'DATA_RESPONDEN'!N92</f>
      </c>
      <c r="I37" s="1">
        <f>'DATA_RESPONDEN'!L133</f>
      </c>
      <c r="J37" s="1">
        <f>'DATA_RESPONDEN'!M133</f>
      </c>
      <c r="K37" s="1">
        <f>'DATA_RESPONDEN'!N133</f>
      </c>
      <c r="L37" s="1">
        <f>'DATA_RESPONDEN'!L174</f>
      </c>
      <c r="M37" s="1">
        <f>'DATA_RESPONDEN'!M174</f>
      </c>
      <c r="N37" s="1">
        <f>'DATA_RESPONDEN'!N174</f>
      </c>
      <c r="O37" s="1">
        <f>'DATA_RESPONDEN'!L215</f>
      </c>
      <c r="P37" s="1">
        <f>'DATA_RESPONDEN'!M215</f>
      </c>
      <c r="Q37" s="1">
        <f>'DATA_RESPONDEN'!N215</f>
      </c>
      <c r="R37" s="1">
        <f>'DATA_RESPONDEN'!L256</f>
      </c>
      <c r="S37" s="1">
        <f>'DATA_RESPONDEN'!M256</f>
      </c>
      <c r="T37" s="1">
        <f>'DATA_RESPONDEN'!N256</f>
      </c>
      <c r="U37" s="1">
        <f>'DATA_RESPONDEN'!L297</f>
      </c>
      <c r="V37" s="1">
        <f>'DATA_RESPONDEN'!M297</f>
      </c>
      <c r="W37" s="1">
        <f>'DATA_RESPONDEN'!N297</f>
      </c>
      <c r="X37" s="1">
        <f>'DATA_RESPONDEN'!L338</f>
      </c>
      <c r="Y37" s="1">
        <f>'DATA_RESPONDEN'!M338</f>
      </c>
      <c r="Z37" s="1">
        <f>'DATA_RESPONDEN'!N338</f>
      </c>
      <c r="AA37" s="1">
        <f>'DATA_RESPONDEN'!L379</f>
      </c>
      <c r="AB37" s="1">
        <f>'DATA_RESPONDEN'!M379</f>
      </c>
      <c r="AC37" s="1">
        <f>'DATA_RESPONDEN'!N379</f>
      </c>
      <c r="AD37" s="1">
        <f>'DATA_RESPONDEN'!L420</f>
      </c>
      <c r="AE37" s="1">
        <f>'DATA_RESPONDEN'!M420</f>
      </c>
      <c r="AF37" s="1">
        <f>'DATA_RESPONDEN'!N420</f>
      </c>
      <c r="AG37" s="1">
        <f>'DATA_RESPONDEN'!L461</f>
      </c>
      <c r="AH37" s="1">
        <f>'DATA_RESPONDEN'!M461</f>
      </c>
      <c r="AI37" s="1">
        <f>'DATA_RESPONDEN'!N461</f>
      </c>
      <c r="AJ37" s="1">
        <f>'DATA_RESPONDEN'!L502</f>
      </c>
      <c r="AK37" s="1">
        <f>'DATA_RESPONDEN'!M502</f>
      </c>
      <c r="AL37" s="1">
        <f>'DATA_RESPONDEN'!N502</f>
      </c>
      <c r="AM37" s="1">
        <f>'DATA_RESPONDEN'!L543</f>
      </c>
      <c r="AN37" s="1">
        <f>'DATA_RESPONDEN'!M543</f>
      </c>
      <c r="AO37" s="1">
        <f>'DATA_RESPONDEN'!N543</f>
      </c>
      <c r="AP37" s="1">
        <f>'DATA_RESPONDEN'!L584</f>
      </c>
      <c r="AQ37" s="1">
        <f>'DATA_RESPONDEN'!M584</f>
      </c>
      <c r="AR37" s="1">
        <f>'DATA_RESPONDEN'!N584</f>
      </c>
      <c r="AS37" s="1">
        <f>'DATA_RESPONDEN'!L625</f>
      </c>
      <c r="AT37" s="1">
        <f>'DATA_RESPONDEN'!M625</f>
      </c>
      <c r="AU37" s="1">
        <f>'DATA_RESPONDEN'!N625</f>
      </c>
      <c r="AV37" s="1">
        <f>'DATA_RESPONDEN'!L666</f>
      </c>
      <c r="AW37" s="1">
        <f>'DATA_RESPONDEN'!M666</f>
      </c>
      <c r="AX37" s="1">
        <f>'DATA_RESPONDEN'!N666</f>
      </c>
      <c r="AY37" s="1">
        <f>'DATA_RESPONDEN'!L707</f>
      </c>
      <c r="AZ37" s="1">
        <f>'DATA_RESPONDEN'!M707</f>
      </c>
      <c r="BA37" s="1">
        <f>'DATA_RESPONDEN'!N707</f>
      </c>
      <c r="BB37" s="1">
        <f>'DATA_RESPONDEN'!L748</f>
      </c>
      <c r="BC37" s="1">
        <f>'DATA_RESPONDEN'!M748</f>
      </c>
      <c r="BD37" s="1">
        <f>'DATA_RESPONDEN'!N748</f>
      </c>
      <c r="BE37" s="1">
        <f>'DATA_RESPONDEN'!L789</f>
      </c>
      <c r="BF37" s="1">
        <f>'DATA_RESPONDEN'!M789</f>
      </c>
      <c r="BG37" s="1">
        <f>'DATA_RESPONDEN'!N789</f>
      </c>
      <c r="BH37" s="1">
        <f>'DATA_RESPONDEN'!L830</f>
      </c>
      <c r="BI37" s="1">
        <f>'DATA_RESPONDEN'!M830</f>
      </c>
      <c r="BJ37" s="1">
        <f>'DATA_RESPONDEN'!N830</f>
      </c>
      <c r="BK37" s="1">
        <f>'DATA_RESPONDEN'!L871</f>
      </c>
      <c r="BL37" s="1">
        <f>'DATA_RESPONDEN'!M871</f>
      </c>
      <c r="BM37" s="1">
        <f>'DATA_RESPONDEN'!N871</f>
      </c>
      <c r="BN37" s="2">
        <f>PRODUCT(C37,F37,I37,L37,O37,R37,U37,X37,AA37,AD37,AG37,AJ37,AM37,AP37,AS37,AV37,AY37,BB37,BE37,BH37,BK37)</f>
      </c>
      <c r="BO37" s="2">
        <f>PRODUCT(D37,G37,J37,M37,P37,S37,V37,Y37,AB37,AE37,AH37,AK37,AN37,AQ37,AT37,AW37,AZ37,BC37,BF37,BI37,BL37)</f>
      </c>
      <c r="BP37" s="2">
        <f>PRODUCT(E37,H37,K37,N37,Q37,T37,W37,Z37,AC37,AF37,AI37,AL37,AO37,AR37,AU37,AX37,BA37,BD37,BG37,BJ37,BM37)</f>
      </c>
      <c r="BQ37" s="1">
        <f>POWER(BN37,1/21)</f>
      </c>
      <c r="BR37" s="1">
        <f>POWER(BO37,1/21)</f>
      </c>
      <c r="BS37" s="1">
        <f>POWER(BP37,1/21)</f>
      </c>
    </row>
    <row r="38">
      <c r="A38">
        <v>32</v>
      </c>
      <c r="B38" t="str">
        <v>CP6_vs_CP8</v>
      </c>
      <c r="C38" s="1">
        <f>'DATA_RESPONDEN'!L52</f>
      </c>
      <c r="D38" s="1">
        <f>'DATA_RESPONDEN'!M52</f>
      </c>
      <c r="E38" s="1">
        <f>'DATA_RESPONDEN'!N52</f>
      </c>
      <c r="F38" s="1">
        <f>'DATA_RESPONDEN'!L93</f>
      </c>
      <c r="G38" s="1">
        <f>'DATA_RESPONDEN'!M93</f>
      </c>
      <c r="H38" s="1">
        <f>'DATA_RESPONDEN'!N93</f>
      </c>
      <c r="I38" s="1">
        <f>'DATA_RESPONDEN'!L134</f>
      </c>
      <c r="J38" s="1">
        <f>'DATA_RESPONDEN'!M134</f>
      </c>
      <c r="K38" s="1">
        <f>'DATA_RESPONDEN'!N134</f>
      </c>
      <c r="L38" s="1">
        <f>'DATA_RESPONDEN'!L175</f>
      </c>
      <c r="M38" s="1">
        <f>'DATA_RESPONDEN'!M175</f>
      </c>
      <c r="N38" s="1">
        <f>'DATA_RESPONDEN'!N175</f>
      </c>
      <c r="O38" s="1">
        <f>'DATA_RESPONDEN'!L216</f>
      </c>
      <c r="P38" s="1">
        <f>'DATA_RESPONDEN'!M216</f>
      </c>
      <c r="Q38" s="1">
        <f>'DATA_RESPONDEN'!N216</f>
      </c>
      <c r="R38" s="1">
        <f>'DATA_RESPONDEN'!L257</f>
      </c>
      <c r="S38" s="1">
        <f>'DATA_RESPONDEN'!M257</f>
      </c>
      <c r="T38" s="1">
        <f>'DATA_RESPONDEN'!N257</f>
      </c>
      <c r="U38" s="1">
        <f>'DATA_RESPONDEN'!L298</f>
      </c>
      <c r="V38" s="1">
        <f>'DATA_RESPONDEN'!M298</f>
      </c>
      <c r="W38" s="1">
        <f>'DATA_RESPONDEN'!N298</f>
      </c>
      <c r="X38" s="1">
        <f>'DATA_RESPONDEN'!L339</f>
      </c>
      <c r="Y38" s="1">
        <f>'DATA_RESPONDEN'!M339</f>
      </c>
      <c r="Z38" s="1">
        <f>'DATA_RESPONDEN'!N339</f>
      </c>
      <c r="AA38" s="1">
        <f>'DATA_RESPONDEN'!L380</f>
      </c>
      <c r="AB38" s="1">
        <f>'DATA_RESPONDEN'!M380</f>
      </c>
      <c r="AC38" s="1">
        <f>'DATA_RESPONDEN'!N380</f>
      </c>
      <c r="AD38" s="1">
        <f>'DATA_RESPONDEN'!L421</f>
      </c>
      <c r="AE38" s="1">
        <f>'DATA_RESPONDEN'!M421</f>
      </c>
      <c r="AF38" s="1">
        <f>'DATA_RESPONDEN'!N421</f>
      </c>
      <c r="AG38" s="1">
        <f>'DATA_RESPONDEN'!L462</f>
      </c>
      <c r="AH38" s="1">
        <f>'DATA_RESPONDEN'!M462</f>
      </c>
      <c r="AI38" s="1">
        <f>'DATA_RESPONDEN'!N462</f>
      </c>
      <c r="AJ38" s="1">
        <f>'DATA_RESPONDEN'!L503</f>
      </c>
      <c r="AK38" s="1">
        <f>'DATA_RESPONDEN'!M503</f>
      </c>
      <c r="AL38" s="1">
        <f>'DATA_RESPONDEN'!N503</f>
      </c>
      <c r="AM38" s="1">
        <f>'DATA_RESPONDEN'!L544</f>
      </c>
      <c r="AN38" s="1">
        <f>'DATA_RESPONDEN'!M544</f>
      </c>
      <c r="AO38" s="1">
        <f>'DATA_RESPONDEN'!N544</f>
      </c>
      <c r="AP38" s="1">
        <f>'DATA_RESPONDEN'!L585</f>
      </c>
      <c r="AQ38" s="1">
        <f>'DATA_RESPONDEN'!M585</f>
      </c>
      <c r="AR38" s="1">
        <f>'DATA_RESPONDEN'!N585</f>
      </c>
      <c r="AS38" s="1">
        <f>'DATA_RESPONDEN'!L626</f>
      </c>
      <c r="AT38" s="1">
        <f>'DATA_RESPONDEN'!M626</f>
      </c>
      <c r="AU38" s="1">
        <f>'DATA_RESPONDEN'!N626</f>
      </c>
      <c r="AV38" s="1">
        <f>'DATA_RESPONDEN'!L667</f>
      </c>
      <c r="AW38" s="1">
        <f>'DATA_RESPONDEN'!M667</f>
      </c>
      <c r="AX38" s="1">
        <f>'DATA_RESPONDEN'!N667</f>
      </c>
      <c r="AY38" s="1">
        <f>'DATA_RESPONDEN'!L708</f>
      </c>
      <c r="AZ38" s="1">
        <f>'DATA_RESPONDEN'!M708</f>
      </c>
      <c r="BA38" s="1">
        <f>'DATA_RESPONDEN'!N708</f>
      </c>
      <c r="BB38" s="1">
        <f>'DATA_RESPONDEN'!L749</f>
      </c>
      <c r="BC38" s="1">
        <f>'DATA_RESPONDEN'!M749</f>
      </c>
      <c r="BD38" s="1">
        <f>'DATA_RESPONDEN'!N749</f>
      </c>
      <c r="BE38" s="1">
        <f>'DATA_RESPONDEN'!L790</f>
      </c>
      <c r="BF38" s="1">
        <f>'DATA_RESPONDEN'!M790</f>
      </c>
      <c r="BG38" s="1">
        <f>'DATA_RESPONDEN'!N790</f>
      </c>
      <c r="BH38" s="1">
        <f>'DATA_RESPONDEN'!L831</f>
      </c>
      <c r="BI38" s="1">
        <f>'DATA_RESPONDEN'!M831</f>
      </c>
      <c r="BJ38" s="1">
        <f>'DATA_RESPONDEN'!N831</f>
      </c>
      <c r="BK38" s="1">
        <f>'DATA_RESPONDEN'!L872</f>
      </c>
      <c r="BL38" s="1">
        <f>'DATA_RESPONDEN'!M872</f>
      </c>
      <c r="BM38" s="1">
        <f>'DATA_RESPONDEN'!N872</f>
      </c>
      <c r="BN38" s="2">
        <f>PRODUCT(C38,F38,I38,L38,O38,R38,U38,X38,AA38,AD38,AG38,AJ38,AM38,AP38,AS38,AV38,AY38,BB38,BE38,BH38,BK38)</f>
      </c>
      <c r="BO38" s="2">
        <f>PRODUCT(D38,G38,J38,M38,P38,S38,V38,Y38,AB38,AE38,AH38,AK38,AN38,AQ38,AT38,AW38,AZ38,BC38,BF38,BI38,BL38)</f>
      </c>
      <c r="BP38" s="2">
        <f>PRODUCT(E38,H38,K38,N38,Q38,T38,W38,Z38,AC38,AF38,AI38,AL38,AO38,AR38,AU38,AX38,BA38,BD38,BG38,BJ38,BM38)</f>
      </c>
      <c r="BQ38" s="1">
        <f>POWER(BN38,1/21)</f>
      </c>
      <c r="BR38" s="1">
        <f>POWER(BO38,1/21)</f>
      </c>
      <c r="BS38" s="1">
        <f>POWER(BP38,1/21)</f>
      </c>
    </row>
    <row r="39">
      <c r="A39">
        <v>33</v>
      </c>
      <c r="B39" t="str">
        <v>CP6_vs_CP9</v>
      </c>
      <c r="C39" s="1">
        <f>'DATA_RESPONDEN'!L53</f>
      </c>
      <c r="D39" s="1">
        <f>'DATA_RESPONDEN'!M53</f>
      </c>
      <c r="E39" s="1">
        <f>'DATA_RESPONDEN'!N53</f>
      </c>
      <c r="F39" s="1">
        <f>'DATA_RESPONDEN'!L94</f>
      </c>
      <c r="G39" s="1">
        <f>'DATA_RESPONDEN'!M94</f>
      </c>
      <c r="H39" s="1">
        <f>'DATA_RESPONDEN'!N94</f>
      </c>
      <c r="I39" s="1">
        <f>'DATA_RESPONDEN'!L135</f>
      </c>
      <c r="J39" s="1">
        <f>'DATA_RESPONDEN'!M135</f>
      </c>
      <c r="K39" s="1">
        <f>'DATA_RESPONDEN'!N135</f>
      </c>
      <c r="L39" s="1">
        <f>'DATA_RESPONDEN'!L176</f>
      </c>
      <c r="M39" s="1">
        <f>'DATA_RESPONDEN'!M176</f>
      </c>
      <c r="N39" s="1">
        <f>'DATA_RESPONDEN'!N176</f>
      </c>
      <c r="O39" s="1">
        <f>'DATA_RESPONDEN'!L217</f>
      </c>
      <c r="P39" s="1">
        <f>'DATA_RESPONDEN'!M217</f>
      </c>
      <c r="Q39" s="1">
        <f>'DATA_RESPONDEN'!N217</f>
      </c>
      <c r="R39" s="1">
        <f>'DATA_RESPONDEN'!L258</f>
      </c>
      <c r="S39" s="1">
        <f>'DATA_RESPONDEN'!M258</f>
      </c>
      <c r="T39" s="1">
        <f>'DATA_RESPONDEN'!N258</f>
      </c>
      <c r="U39" s="1">
        <f>'DATA_RESPONDEN'!L299</f>
      </c>
      <c r="V39" s="1">
        <f>'DATA_RESPONDEN'!M299</f>
      </c>
      <c r="W39" s="1">
        <f>'DATA_RESPONDEN'!N299</f>
      </c>
      <c r="X39" s="1">
        <f>'DATA_RESPONDEN'!L340</f>
      </c>
      <c r="Y39" s="1">
        <f>'DATA_RESPONDEN'!M340</f>
      </c>
      <c r="Z39" s="1">
        <f>'DATA_RESPONDEN'!N340</f>
      </c>
      <c r="AA39" s="1">
        <f>'DATA_RESPONDEN'!L381</f>
      </c>
      <c r="AB39" s="1">
        <f>'DATA_RESPONDEN'!M381</f>
      </c>
      <c r="AC39" s="1">
        <f>'DATA_RESPONDEN'!N381</f>
      </c>
      <c r="AD39" s="1">
        <f>'DATA_RESPONDEN'!L422</f>
      </c>
      <c r="AE39" s="1">
        <f>'DATA_RESPONDEN'!M422</f>
      </c>
      <c r="AF39" s="1">
        <f>'DATA_RESPONDEN'!N422</f>
      </c>
      <c r="AG39" s="1">
        <f>'DATA_RESPONDEN'!L463</f>
      </c>
      <c r="AH39" s="1">
        <f>'DATA_RESPONDEN'!M463</f>
      </c>
      <c r="AI39" s="1">
        <f>'DATA_RESPONDEN'!N463</f>
      </c>
      <c r="AJ39" s="1">
        <f>'DATA_RESPONDEN'!L504</f>
      </c>
      <c r="AK39" s="1">
        <f>'DATA_RESPONDEN'!M504</f>
      </c>
      <c r="AL39" s="1">
        <f>'DATA_RESPONDEN'!N504</f>
      </c>
      <c r="AM39" s="1">
        <f>'DATA_RESPONDEN'!L545</f>
      </c>
      <c r="AN39" s="1">
        <f>'DATA_RESPONDEN'!M545</f>
      </c>
      <c r="AO39" s="1">
        <f>'DATA_RESPONDEN'!N545</f>
      </c>
      <c r="AP39" s="1">
        <f>'DATA_RESPONDEN'!L586</f>
      </c>
      <c r="AQ39" s="1">
        <f>'DATA_RESPONDEN'!M586</f>
      </c>
      <c r="AR39" s="1">
        <f>'DATA_RESPONDEN'!N586</f>
      </c>
      <c r="AS39" s="1">
        <f>'DATA_RESPONDEN'!L627</f>
      </c>
      <c r="AT39" s="1">
        <f>'DATA_RESPONDEN'!M627</f>
      </c>
      <c r="AU39" s="1">
        <f>'DATA_RESPONDEN'!N627</f>
      </c>
      <c r="AV39" s="1">
        <f>'DATA_RESPONDEN'!L668</f>
      </c>
      <c r="AW39" s="1">
        <f>'DATA_RESPONDEN'!M668</f>
      </c>
      <c r="AX39" s="1">
        <f>'DATA_RESPONDEN'!N668</f>
      </c>
      <c r="AY39" s="1">
        <f>'DATA_RESPONDEN'!L709</f>
      </c>
      <c r="AZ39" s="1">
        <f>'DATA_RESPONDEN'!M709</f>
      </c>
      <c r="BA39" s="1">
        <f>'DATA_RESPONDEN'!N709</f>
      </c>
      <c r="BB39" s="1">
        <f>'DATA_RESPONDEN'!L750</f>
      </c>
      <c r="BC39" s="1">
        <f>'DATA_RESPONDEN'!M750</f>
      </c>
      <c r="BD39" s="1">
        <f>'DATA_RESPONDEN'!N750</f>
      </c>
      <c r="BE39" s="1">
        <f>'DATA_RESPONDEN'!L791</f>
      </c>
      <c r="BF39" s="1">
        <f>'DATA_RESPONDEN'!M791</f>
      </c>
      <c r="BG39" s="1">
        <f>'DATA_RESPONDEN'!N791</f>
      </c>
      <c r="BH39" s="1">
        <f>'DATA_RESPONDEN'!L832</f>
      </c>
      <c r="BI39" s="1">
        <f>'DATA_RESPONDEN'!M832</f>
      </c>
      <c r="BJ39" s="1">
        <f>'DATA_RESPONDEN'!N832</f>
      </c>
      <c r="BK39" s="1">
        <f>'DATA_RESPONDEN'!L873</f>
      </c>
      <c r="BL39" s="1">
        <f>'DATA_RESPONDEN'!M873</f>
      </c>
      <c r="BM39" s="1">
        <f>'DATA_RESPONDEN'!N873</f>
      </c>
      <c r="BN39" s="2">
        <f>PRODUCT(C39,F39,I39,L39,O39,R39,U39,X39,AA39,AD39,AG39,AJ39,AM39,AP39,AS39,AV39,AY39,BB39,BE39,BH39,BK39)</f>
      </c>
      <c r="BO39" s="2">
        <f>PRODUCT(D39,G39,J39,M39,P39,S39,V39,Y39,AB39,AE39,AH39,AK39,AN39,AQ39,AT39,AW39,AZ39,BC39,BF39,BI39,BL39)</f>
      </c>
      <c r="BP39" s="2">
        <f>PRODUCT(E39,H39,K39,N39,Q39,T39,W39,Z39,AC39,AF39,AI39,AL39,AO39,AR39,AU39,AX39,BA39,BD39,BG39,BJ39,BM39)</f>
      </c>
      <c r="BQ39" s="1">
        <f>POWER(BN39,1/21)</f>
      </c>
      <c r="BR39" s="1">
        <f>POWER(BO39,1/21)</f>
      </c>
      <c r="BS39" s="1">
        <f>POWER(BP39,1/21)</f>
      </c>
    </row>
    <row r="40">
      <c r="A40">
        <v>34</v>
      </c>
      <c r="B40" t="str">
        <v>CP7_vs_CP8</v>
      </c>
      <c r="C40" s="1">
        <f>'DATA_RESPONDEN'!L54</f>
      </c>
      <c r="D40" s="1">
        <f>'DATA_RESPONDEN'!M54</f>
      </c>
      <c r="E40" s="1">
        <f>'DATA_RESPONDEN'!N54</f>
      </c>
      <c r="F40" s="1">
        <f>'DATA_RESPONDEN'!L95</f>
      </c>
      <c r="G40" s="1">
        <f>'DATA_RESPONDEN'!M95</f>
      </c>
      <c r="H40" s="1">
        <f>'DATA_RESPONDEN'!N95</f>
      </c>
      <c r="I40" s="1">
        <f>'DATA_RESPONDEN'!L136</f>
      </c>
      <c r="J40" s="1">
        <f>'DATA_RESPONDEN'!M136</f>
      </c>
      <c r="K40" s="1">
        <f>'DATA_RESPONDEN'!N136</f>
      </c>
      <c r="L40" s="1">
        <f>'DATA_RESPONDEN'!L177</f>
      </c>
      <c r="M40" s="1">
        <f>'DATA_RESPONDEN'!M177</f>
      </c>
      <c r="N40" s="1">
        <f>'DATA_RESPONDEN'!N177</f>
      </c>
      <c r="O40" s="1">
        <f>'DATA_RESPONDEN'!L218</f>
      </c>
      <c r="P40" s="1">
        <f>'DATA_RESPONDEN'!M218</f>
      </c>
      <c r="Q40" s="1">
        <f>'DATA_RESPONDEN'!N218</f>
      </c>
      <c r="R40" s="1">
        <f>'DATA_RESPONDEN'!L259</f>
      </c>
      <c r="S40" s="1">
        <f>'DATA_RESPONDEN'!M259</f>
      </c>
      <c r="T40" s="1">
        <f>'DATA_RESPONDEN'!N259</f>
      </c>
      <c r="U40" s="1">
        <f>'DATA_RESPONDEN'!L300</f>
      </c>
      <c r="V40" s="1">
        <f>'DATA_RESPONDEN'!M300</f>
      </c>
      <c r="W40" s="1">
        <f>'DATA_RESPONDEN'!N300</f>
      </c>
      <c r="X40" s="1">
        <f>'DATA_RESPONDEN'!L341</f>
      </c>
      <c r="Y40" s="1">
        <f>'DATA_RESPONDEN'!M341</f>
      </c>
      <c r="Z40" s="1">
        <f>'DATA_RESPONDEN'!N341</f>
      </c>
      <c r="AA40" s="1">
        <f>'DATA_RESPONDEN'!L382</f>
      </c>
      <c r="AB40" s="1">
        <f>'DATA_RESPONDEN'!M382</f>
      </c>
      <c r="AC40" s="1">
        <f>'DATA_RESPONDEN'!N382</f>
      </c>
      <c r="AD40" s="1">
        <f>'DATA_RESPONDEN'!L423</f>
      </c>
      <c r="AE40" s="1">
        <f>'DATA_RESPONDEN'!M423</f>
      </c>
      <c r="AF40" s="1">
        <f>'DATA_RESPONDEN'!N423</f>
      </c>
      <c r="AG40" s="1">
        <f>'DATA_RESPONDEN'!L464</f>
      </c>
      <c r="AH40" s="1">
        <f>'DATA_RESPONDEN'!M464</f>
      </c>
      <c r="AI40" s="1">
        <f>'DATA_RESPONDEN'!N464</f>
      </c>
      <c r="AJ40" s="1">
        <f>'DATA_RESPONDEN'!L505</f>
      </c>
      <c r="AK40" s="1">
        <f>'DATA_RESPONDEN'!M505</f>
      </c>
      <c r="AL40" s="1">
        <f>'DATA_RESPONDEN'!N505</f>
      </c>
      <c r="AM40" s="1">
        <f>'DATA_RESPONDEN'!L546</f>
      </c>
      <c r="AN40" s="1">
        <f>'DATA_RESPONDEN'!M546</f>
      </c>
      <c r="AO40" s="1">
        <f>'DATA_RESPONDEN'!N546</f>
      </c>
      <c r="AP40" s="1">
        <f>'DATA_RESPONDEN'!L587</f>
      </c>
      <c r="AQ40" s="1">
        <f>'DATA_RESPONDEN'!M587</f>
      </c>
      <c r="AR40" s="1">
        <f>'DATA_RESPONDEN'!N587</f>
      </c>
      <c r="AS40" s="1">
        <f>'DATA_RESPONDEN'!L628</f>
      </c>
      <c r="AT40" s="1">
        <f>'DATA_RESPONDEN'!M628</f>
      </c>
      <c r="AU40" s="1">
        <f>'DATA_RESPONDEN'!N628</f>
      </c>
      <c r="AV40" s="1">
        <f>'DATA_RESPONDEN'!L669</f>
      </c>
      <c r="AW40" s="1">
        <f>'DATA_RESPONDEN'!M669</f>
      </c>
      <c r="AX40" s="1">
        <f>'DATA_RESPONDEN'!N669</f>
      </c>
      <c r="AY40" s="1">
        <f>'DATA_RESPONDEN'!L710</f>
      </c>
      <c r="AZ40" s="1">
        <f>'DATA_RESPONDEN'!M710</f>
      </c>
      <c r="BA40" s="1">
        <f>'DATA_RESPONDEN'!N710</f>
      </c>
      <c r="BB40" s="1">
        <f>'DATA_RESPONDEN'!L751</f>
      </c>
      <c r="BC40" s="1">
        <f>'DATA_RESPONDEN'!M751</f>
      </c>
      <c r="BD40" s="1">
        <f>'DATA_RESPONDEN'!N751</f>
      </c>
      <c r="BE40" s="1">
        <f>'DATA_RESPONDEN'!L792</f>
      </c>
      <c r="BF40" s="1">
        <f>'DATA_RESPONDEN'!M792</f>
      </c>
      <c r="BG40" s="1">
        <f>'DATA_RESPONDEN'!N792</f>
      </c>
      <c r="BH40" s="1">
        <f>'DATA_RESPONDEN'!L833</f>
      </c>
      <c r="BI40" s="1">
        <f>'DATA_RESPONDEN'!M833</f>
      </c>
      <c r="BJ40" s="1">
        <f>'DATA_RESPONDEN'!N833</f>
      </c>
      <c r="BK40" s="1">
        <f>'DATA_RESPONDEN'!L874</f>
      </c>
      <c r="BL40" s="1">
        <f>'DATA_RESPONDEN'!M874</f>
      </c>
      <c r="BM40" s="1">
        <f>'DATA_RESPONDEN'!N874</f>
      </c>
      <c r="BN40" s="2">
        <f>PRODUCT(C40,F40,I40,L40,O40,R40,U40,X40,AA40,AD40,AG40,AJ40,AM40,AP40,AS40,AV40,AY40,BB40,BE40,BH40,BK40)</f>
      </c>
      <c r="BO40" s="2">
        <f>PRODUCT(D40,G40,J40,M40,P40,S40,V40,Y40,AB40,AE40,AH40,AK40,AN40,AQ40,AT40,AW40,AZ40,BC40,BF40,BI40,BL40)</f>
      </c>
      <c r="BP40" s="2">
        <f>PRODUCT(E40,H40,K40,N40,Q40,T40,W40,Z40,AC40,AF40,AI40,AL40,AO40,AR40,AU40,AX40,BA40,BD40,BG40,BJ40,BM40)</f>
      </c>
      <c r="BQ40" s="1">
        <f>POWER(BN40,1/21)</f>
      </c>
      <c r="BR40" s="1">
        <f>POWER(BO40,1/21)</f>
      </c>
      <c r="BS40" s="1">
        <f>POWER(BP40,1/21)</f>
      </c>
    </row>
    <row r="41">
      <c r="A41">
        <v>35</v>
      </c>
      <c r="B41" t="str">
        <v>CP7_vs_CP9</v>
      </c>
      <c r="C41" s="1">
        <f>'DATA_RESPONDEN'!L55</f>
      </c>
      <c r="D41" s="1">
        <f>'DATA_RESPONDEN'!M55</f>
      </c>
      <c r="E41" s="1">
        <f>'DATA_RESPONDEN'!N55</f>
      </c>
      <c r="F41" s="1">
        <f>'DATA_RESPONDEN'!L96</f>
      </c>
      <c r="G41" s="1">
        <f>'DATA_RESPONDEN'!M96</f>
      </c>
      <c r="H41" s="1">
        <f>'DATA_RESPONDEN'!N96</f>
      </c>
      <c r="I41" s="1">
        <f>'DATA_RESPONDEN'!L137</f>
      </c>
      <c r="J41" s="1">
        <f>'DATA_RESPONDEN'!M137</f>
      </c>
      <c r="K41" s="1">
        <f>'DATA_RESPONDEN'!N137</f>
      </c>
      <c r="L41" s="1">
        <f>'DATA_RESPONDEN'!L178</f>
      </c>
      <c r="M41" s="1">
        <f>'DATA_RESPONDEN'!M178</f>
      </c>
      <c r="N41" s="1">
        <f>'DATA_RESPONDEN'!N178</f>
      </c>
      <c r="O41" s="1">
        <f>'DATA_RESPONDEN'!L219</f>
      </c>
      <c r="P41" s="1">
        <f>'DATA_RESPONDEN'!M219</f>
      </c>
      <c r="Q41" s="1">
        <f>'DATA_RESPONDEN'!N219</f>
      </c>
      <c r="R41" s="1">
        <f>'DATA_RESPONDEN'!L260</f>
      </c>
      <c r="S41" s="1">
        <f>'DATA_RESPONDEN'!M260</f>
      </c>
      <c r="T41" s="1">
        <f>'DATA_RESPONDEN'!N260</f>
      </c>
      <c r="U41" s="1">
        <f>'DATA_RESPONDEN'!L301</f>
      </c>
      <c r="V41" s="1">
        <f>'DATA_RESPONDEN'!M301</f>
      </c>
      <c r="W41" s="1">
        <f>'DATA_RESPONDEN'!N301</f>
      </c>
      <c r="X41" s="1">
        <f>'DATA_RESPONDEN'!L342</f>
      </c>
      <c r="Y41" s="1">
        <f>'DATA_RESPONDEN'!M342</f>
      </c>
      <c r="Z41" s="1">
        <f>'DATA_RESPONDEN'!N342</f>
      </c>
      <c r="AA41" s="1">
        <f>'DATA_RESPONDEN'!L383</f>
      </c>
      <c r="AB41" s="1">
        <f>'DATA_RESPONDEN'!M383</f>
      </c>
      <c r="AC41" s="1">
        <f>'DATA_RESPONDEN'!N383</f>
      </c>
      <c r="AD41" s="1">
        <f>'DATA_RESPONDEN'!L424</f>
      </c>
      <c r="AE41" s="1">
        <f>'DATA_RESPONDEN'!M424</f>
      </c>
      <c r="AF41" s="1">
        <f>'DATA_RESPONDEN'!N424</f>
      </c>
      <c r="AG41" s="1">
        <f>'DATA_RESPONDEN'!L465</f>
      </c>
      <c r="AH41" s="1">
        <f>'DATA_RESPONDEN'!M465</f>
      </c>
      <c r="AI41" s="1">
        <f>'DATA_RESPONDEN'!N465</f>
      </c>
      <c r="AJ41" s="1">
        <f>'DATA_RESPONDEN'!L506</f>
      </c>
      <c r="AK41" s="1">
        <f>'DATA_RESPONDEN'!M506</f>
      </c>
      <c r="AL41" s="1">
        <f>'DATA_RESPONDEN'!N506</f>
      </c>
      <c r="AM41" s="1">
        <f>'DATA_RESPONDEN'!L547</f>
      </c>
      <c r="AN41" s="1">
        <f>'DATA_RESPONDEN'!M547</f>
      </c>
      <c r="AO41" s="1">
        <f>'DATA_RESPONDEN'!N547</f>
      </c>
      <c r="AP41" s="1">
        <f>'DATA_RESPONDEN'!L588</f>
      </c>
      <c r="AQ41" s="1">
        <f>'DATA_RESPONDEN'!M588</f>
      </c>
      <c r="AR41" s="1">
        <f>'DATA_RESPONDEN'!N588</f>
      </c>
      <c r="AS41" s="1">
        <f>'DATA_RESPONDEN'!L629</f>
      </c>
      <c r="AT41" s="1">
        <f>'DATA_RESPONDEN'!M629</f>
      </c>
      <c r="AU41" s="1">
        <f>'DATA_RESPONDEN'!N629</f>
      </c>
      <c r="AV41" s="1">
        <f>'DATA_RESPONDEN'!L670</f>
      </c>
      <c r="AW41" s="1">
        <f>'DATA_RESPONDEN'!M670</f>
      </c>
      <c r="AX41" s="1">
        <f>'DATA_RESPONDEN'!N670</f>
      </c>
      <c r="AY41" s="1">
        <f>'DATA_RESPONDEN'!L711</f>
      </c>
      <c r="AZ41" s="1">
        <f>'DATA_RESPONDEN'!M711</f>
      </c>
      <c r="BA41" s="1">
        <f>'DATA_RESPONDEN'!N711</f>
      </c>
      <c r="BB41" s="1">
        <f>'DATA_RESPONDEN'!L752</f>
      </c>
      <c r="BC41" s="1">
        <f>'DATA_RESPONDEN'!M752</f>
      </c>
      <c r="BD41" s="1">
        <f>'DATA_RESPONDEN'!N752</f>
      </c>
      <c r="BE41" s="1">
        <f>'DATA_RESPONDEN'!L793</f>
      </c>
      <c r="BF41" s="1">
        <f>'DATA_RESPONDEN'!M793</f>
      </c>
      <c r="BG41" s="1">
        <f>'DATA_RESPONDEN'!N793</f>
      </c>
      <c r="BH41" s="1">
        <f>'DATA_RESPONDEN'!L834</f>
      </c>
      <c r="BI41" s="1">
        <f>'DATA_RESPONDEN'!M834</f>
      </c>
      <c r="BJ41" s="1">
        <f>'DATA_RESPONDEN'!N834</f>
      </c>
      <c r="BK41" s="1">
        <f>'DATA_RESPONDEN'!L875</f>
      </c>
      <c r="BL41" s="1">
        <f>'DATA_RESPONDEN'!M875</f>
      </c>
      <c r="BM41" s="1">
        <f>'DATA_RESPONDEN'!N875</f>
      </c>
      <c r="BN41" s="2">
        <f>PRODUCT(C41,F41,I41,L41,O41,R41,U41,X41,AA41,AD41,AG41,AJ41,AM41,AP41,AS41,AV41,AY41,BB41,BE41,BH41,BK41)</f>
      </c>
      <c r="BO41" s="2">
        <f>PRODUCT(D41,G41,J41,M41,P41,S41,V41,Y41,AB41,AE41,AH41,AK41,AN41,AQ41,AT41,AW41,AZ41,BC41,BF41,BI41,BL41)</f>
      </c>
      <c r="BP41" s="2">
        <f>PRODUCT(E41,H41,K41,N41,Q41,T41,W41,Z41,AC41,AF41,AI41,AL41,AO41,AR41,AU41,AX41,BA41,BD41,BG41,BJ41,BM41)</f>
      </c>
      <c r="BQ41" s="1">
        <f>POWER(BN41,1/21)</f>
      </c>
      <c r="BR41" s="1">
        <f>POWER(BO41,1/21)</f>
      </c>
      <c r="BS41" s="1">
        <f>POWER(BP41,1/21)</f>
      </c>
    </row>
    <row r="42">
      <c r="A42">
        <v>36</v>
      </c>
      <c r="B42" t="str">
        <v>CP8_vs_CP9</v>
      </c>
      <c r="C42" s="1">
        <f>'DATA_RESPONDEN'!L56</f>
      </c>
      <c r="D42" s="1">
        <f>'DATA_RESPONDEN'!M56</f>
      </c>
      <c r="E42" s="1">
        <f>'DATA_RESPONDEN'!N56</f>
      </c>
      <c r="F42" s="1">
        <f>'DATA_RESPONDEN'!L97</f>
      </c>
      <c r="G42" s="1">
        <f>'DATA_RESPONDEN'!M97</f>
      </c>
      <c r="H42" s="1">
        <f>'DATA_RESPONDEN'!N97</f>
      </c>
      <c r="I42" s="1">
        <f>'DATA_RESPONDEN'!L138</f>
      </c>
      <c r="J42" s="1">
        <f>'DATA_RESPONDEN'!M138</f>
      </c>
      <c r="K42" s="1">
        <f>'DATA_RESPONDEN'!N138</f>
      </c>
      <c r="L42" s="1">
        <f>'DATA_RESPONDEN'!L179</f>
      </c>
      <c r="M42" s="1">
        <f>'DATA_RESPONDEN'!M179</f>
      </c>
      <c r="N42" s="1">
        <f>'DATA_RESPONDEN'!N179</f>
      </c>
      <c r="O42" s="1">
        <f>'DATA_RESPONDEN'!L220</f>
      </c>
      <c r="P42" s="1">
        <f>'DATA_RESPONDEN'!M220</f>
      </c>
      <c r="Q42" s="1">
        <f>'DATA_RESPONDEN'!N220</f>
      </c>
      <c r="R42" s="1">
        <f>'DATA_RESPONDEN'!L261</f>
      </c>
      <c r="S42" s="1">
        <f>'DATA_RESPONDEN'!M261</f>
      </c>
      <c r="T42" s="1">
        <f>'DATA_RESPONDEN'!N261</f>
      </c>
      <c r="U42" s="1">
        <f>'DATA_RESPONDEN'!L302</f>
      </c>
      <c r="V42" s="1">
        <f>'DATA_RESPONDEN'!M302</f>
      </c>
      <c r="W42" s="1">
        <f>'DATA_RESPONDEN'!N302</f>
      </c>
      <c r="X42" s="1">
        <f>'DATA_RESPONDEN'!L343</f>
      </c>
      <c r="Y42" s="1">
        <f>'DATA_RESPONDEN'!M343</f>
      </c>
      <c r="Z42" s="1">
        <f>'DATA_RESPONDEN'!N343</f>
      </c>
      <c r="AA42" s="1">
        <f>'DATA_RESPONDEN'!L384</f>
      </c>
      <c r="AB42" s="1">
        <f>'DATA_RESPONDEN'!M384</f>
      </c>
      <c r="AC42" s="1">
        <f>'DATA_RESPONDEN'!N384</f>
      </c>
      <c r="AD42" s="1">
        <f>'DATA_RESPONDEN'!L425</f>
      </c>
      <c r="AE42" s="1">
        <f>'DATA_RESPONDEN'!M425</f>
      </c>
      <c r="AF42" s="1">
        <f>'DATA_RESPONDEN'!N425</f>
      </c>
      <c r="AG42" s="1">
        <f>'DATA_RESPONDEN'!L466</f>
      </c>
      <c r="AH42" s="1">
        <f>'DATA_RESPONDEN'!M466</f>
      </c>
      <c r="AI42" s="1">
        <f>'DATA_RESPONDEN'!N466</f>
      </c>
      <c r="AJ42" s="1">
        <f>'DATA_RESPONDEN'!L507</f>
      </c>
      <c r="AK42" s="1">
        <f>'DATA_RESPONDEN'!M507</f>
      </c>
      <c r="AL42" s="1">
        <f>'DATA_RESPONDEN'!N507</f>
      </c>
      <c r="AM42" s="1">
        <f>'DATA_RESPONDEN'!L548</f>
      </c>
      <c r="AN42" s="1">
        <f>'DATA_RESPONDEN'!M548</f>
      </c>
      <c r="AO42" s="1">
        <f>'DATA_RESPONDEN'!N548</f>
      </c>
      <c r="AP42" s="1">
        <f>'DATA_RESPONDEN'!L589</f>
      </c>
      <c r="AQ42" s="1">
        <f>'DATA_RESPONDEN'!M589</f>
      </c>
      <c r="AR42" s="1">
        <f>'DATA_RESPONDEN'!N589</f>
      </c>
      <c r="AS42" s="1">
        <f>'DATA_RESPONDEN'!L630</f>
      </c>
      <c r="AT42" s="1">
        <f>'DATA_RESPONDEN'!M630</f>
      </c>
      <c r="AU42" s="1">
        <f>'DATA_RESPONDEN'!N630</f>
      </c>
      <c r="AV42" s="1">
        <f>'DATA_RESPONDEN'!L671</f>
      </c>
      <c r="AW42" s="1">
        <f>'DATA_RESPONDEN'!M671</f>
      </c>
      <c r="AX42" s="1">
        <f>'DATA_RESPONDEN'!N671</f>
      </c>
      <c r="AY42" s="1">
        <f>'DATA_RESPONDEN'!L712</f>
      </c>
      <c r="AZ42" s="1">
        <f>'DATA_RESPONDEN'!M712</f>
      </c>
      <c r="BA42" s="1">
        <f>'DATA_RESPONDEN'!N712</f>
      </c>
      <c r="BB42" s="1">
        <f>'DATA_RESPONDEN'!L753</f>
      </c>
      <c r="BC42" s="1">
        <f>'DATA_RESPONDEN'!M753</f>
      </c>
      <c r="BD42" s="1">
        <f>'DATA_RESPONDEN'!N753</f>
      </c>
      <c r="BE42" s="1">
        <f>'DATA_RESPONDEN'!L794</f>
      </c>
      <c r="BF42" s="1">
        <f>'DATA_RESPONDEN'!M794</f>
      </c>
      <c r="BG42" s="1">
        <f>'DATA_RESPONDEN'!N794</f>
      </c>
      <c r="BH42" s="1">
        <f>'DATA_RESPONDEN'!L835</f>
      </c>
      <c r="BI42" s="1">
        <f>'DATA_RESPONDEN'!M835</f>
      </c>
      <c r="BJ42" s="1">
        <f>'DATA_RESPONDEN'!N835</f>
      </c>
      <c r="BK42" s="1">
        <f>'DATA_RESPONDEN'!L876</f>
      </c>
      <c r="BL42" s="1">
        <f>'DATA_RESPONDEN'!M876</f>
      </c>
      <c r="BM42" s="1">
        <f>'DATA_RESPONDEN'!N876</f>
      </c>
      <c r="BN42" s="2">
        <f>PRODUCT(C42,F42,I42,L42,O42,R42,U42,X42,AA42,AD42,AG42,AJ42,AM42,AP42,AS42,AV42,AY42,BB42,BE42,BH42,BK42)</f>
      </c>
      <c r="BO42" s="2">
        <f>PRODUCT(D42,G42,J42,M42,P42,S42,V42,Y42,AB42,AE42,AH42,AK42,AN42,AQ42,AT42,AW42,AZ42,BC42,BF42,BI42,BL42)</f>
      </c>
      <c r="BP42" s="2">
        <f>PRODUCT(E42,H42,K42,N42,Q42,T42,W42,Z42,AC42,AF42,AI42,AL42,AO42,AR42,AU42,AX42,BA42,BD42,BG42,BJ42,BM42)</f>
      </c>
      <c r="BQ42" s="1">
        <f>POWER(BN42,1/21)</f>
      </c>
      <c r="BR42" s="1">
        <f>POWER(BO42,1/21)</f>
      </c>
      <c r="BS42" s="1">
        <f>POWER(BP42,1/21)</f>
      </c>
    </row>
  </sheetData>
  <ignoredErrors>
    <ignoredError numberStoredAsText="1" sqref="A1:BT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</cols>
  <sheetData>
    <row r="1">
      <c r="A1" t="str">
        <v>MATRIKS TFN AGREGAT 9×9</v>
      </c>
    </row>
    <row r="2">
      <c r="A2" t="str">
        <v>Dibangun dari hasil Geometric Mean. Diagonal=(1,1,1). Lower=reciprocal(1/u,1/m,1/l).</v>
      </c>
    </row>
    <row r="4">
      <c r="A4" t="str">
        <v>MATRIKS TFN — Komponen l (Lower)</v>
      </c>
    </row>
    <row r="5">
      <c r="A5" t="str">
        <v/>
      </c>
      <c r="B5" t="str">
        <v>CP1</v>
      </c>
      <c r="C5" t="str">
        <v>CP2</v>
      </c>
      <c r="D5" t="str">
        <v>CP3</v>
      </c>
      <c r="E5" t="str">
        <v>CP4</v>
      </c>
      <c r="F5" t="str">
        <v>CP5</v>
      </c>
      <c r="G5" t="str">
        <v>CP6</v>
      </c>
      <c r="H5" t="str">
        <v>CP7</v>
      </c>
      <c r="I5" t="str">
        <v>CP8</v>
      </c>
      <c r="J5" t="str">
        <v>CP9</v>
      </c>
      <c r="K5" t="str">
        <v>Σ Baris</v>
      </c>
    </row>
    <row r="6">
      <c r="A6" t="str">
        <v>CP1</v>
      </c>
      <c r="B6">
        <v>1</v>
      </c>
      <c r="C6" s="1">
        <f>'GEOMETRIC_MEAN'!BQ7</f>
      </c>
      <c r="D6" s="1">
        <f>'GEOMETRIC_MEAN'!BQ8</f>
      </c>
      <c r="E6" s="1">
        <f>'GEOMETRIC_MEAN'!BQ9</f>
      </c>
      <c r="F6" s="1">
        <f>'GEOMETRIC_MEAN'!BQ10</f>
      </c>
      <c r="G6" s="1">
        <f>'GEOMETRIC_MEAN'!BQ11</f>
      </c>
      <c r="H6" s="1">
        <f>'GEOMETRIC_MEAN'!BQ12</f>
      </c>
      <c r="I6" s="1">
        <f>'GEOMETRIC_MEAN'!BQ13</f>
      </c>
      <c r="J6" s="1">
        <f>'GEOMETRIC_MEAN'!BQ14</f>
      </c>
      <c r="K6" s="1">
        <f>SUM(B6:J6)</f>
      </c>
    </row>
    <row r="7">
      <c r="A7" t="str">
        <v>CP2</v>
      </c>
      <c r="B7" s="1">
        <f>1/'GEOMETRIC_MEAN'!BS7</f>
      </c>
      <c r="C7">
        <v>1</v>
      </c>
      <c r="D7" s="1">
        <f>'GEOMETRIC_MEAN'!BQ15</f>
      </c>
      <c r="E7" s="1">
        <f>'GEOMETRIC_MEAN'!BQ16</f>
      </c>
      <c r="F7" s="1">
        <f>'GEOMETRIC_MEAN'!BQ17</f>
      </c>
      <c r="G7" s="1">
        <f>'GEOMETRIC_MEAN'!BQ18</f>
      </c>
      <c r="H7" s="1">
        <f>'GEOMETRIC_MEAN'!BQ19</f>
      </c>
      <c r="I7" s="1">
        <f>'GEOMETRIC_MEAN'!BQ20</f>
      </c>
      <c r="J7" s="1">
        <f>'GEOMETRIC_MEAN'!BQ21</f>
      </c>
      <c r="K7" s="1">
        <f>SUM(B7:J7)</f>
      </c>
    </row>
    <row r="8">
      <c r="A8" t="str">
        <v>CP3</v>
      </c>
      <c r="B8" s="1">
        <f>1/'GEOMETRIC_MEAN'!BS8</f>
      </c>
      <c r="C8" s="1">
        <f>1/'GEOMETRIC_MEAN'!BS15</f>
      </c>
      <c r="D8">
        <v>1</v>
      </c>
      <c r="E8" s="1">
        <f>'GEOMETRIC_MEAN'!BQ22</f>
      </c>
      <c r="F8" s="1">
        <f>'GEOMETRIC_MEAN'!BQ23</f>
      </c>
      <c r="G8" s="1">
        <f>'GEOMETRIC_MEAN'!BQ24</f>
      </c>
      <c r="H8" s="1">
        <f>'GEOMETRIC_MEAN'!BQ25</f>
      </c>
      <c r="I8" s="1">
        <f>'GEOMETRIC_MEAN'!BQ26</f>
      </c>
      <c r="J8" s="1">
        <f>'GEOMETRIC_MEAN'!BQ27</f>
      </c>
      <c r="K8" s="1">
        <f>SUM(B8:J8)</f>
      </c>
    </row>
    <row r="9">
      <c r="A9" t="str">
        <v>CP4</v>
      </c>
      <c r="B9" s="1">
        <f>1/'GEOMETRIC_MEAN'!BS9</f>
      </c>
      <c r="C9" s="1">
        <f>1/'GEOMETRIC_MEAN'!BS16</f>
      </c>
      <c r="D9" s="1">
        <f>1/'GEOMETRIC_MEAN'!BS22</f>
      </c>
      <c r="E9">
        <v>1</v>
      </c>
      <c r="F9" s="1">
        <f>'GEOMETRIC_MEAN'!BQ28</f>
      </c>
      <c r="G9" s="1">
        <f>'GEOMETRIC_MEAN'!BQ29</f>
      </c>
      <c r="H9" s="1">
        <f>'GEOMETRIC_MEAN'!BQ30</f>
      </c>
      <c r="I9" s="1">
        <f>'GEOMETRIC_MEAN'!BQ31</f>
      </c>
      <c r="J9" s="1">
        <f>'GEOMETRIC_MEAN'!BQ32</f>
      </c>
      <c r="K9" s="1">
        <f>SUM(B9:J9)</f>
      </c>
    </row>
    <row r="10">
      <c r="A10" t="str">
        <v>CP5</v>
      </c>
      <c r="B10" s="1">
        <f>1/'GEOMETRIC_MEAN'!BS10</f>
      </c>
      <c r="C10" s="1">
        <f>1/'GEOMETRIC_MEAN'!BS17</f>
      </c>
      <c r="D10" s="1">
        <f>1/'GEOMETRIC_MEAN'!BS23</f>
      </c>
      <c r="E10" s="1">
        <f>1/'GEOMETRIC_MEAN'!BS28</f>
      </c>
      <c r="F10">
        <v>1</v>
      </c>
      <c r="G10" s="1">
        <f>'GEOMETRIC_MEAN'!BQ33</f>
      </c>
      <c r="H10" s="1">
        <f>'GEOMETRIC_MEAN'!BQ34</f>
      </c>
      <c r="I10" s="1">
        <f>'GEOMETRIC_MEAN'!BQ35</f>
      </c>
      <c r="J10" s="1">
        <f>'GEOMETRIC_MEAN'!BQ36</f>
      </c>
      <c r="K10" s="1">
        <f>SUM(B10:J10)</f>
      </c>
    </row>
    <row r="11">
      <c r="A11" t="str">
        <v>CP6</v>
      </c>
      <c r="B11" s="1">
        <f>1/'GEOMETRIC_MEAN'!BS11</f>
      </c>
      <c r="C11" s="1">
        <f>1/'GEOMETRIC_MEAN'!BS18</f>
      </c>
      <c r="D11" s="1">
        <f>1/'GEOMETRIC_MEAN'!BS24</f>
      </c>
      <c r="E11" s="1">
        <f>1/'GEOMETRIC_MEAN'!BS29</f>
      </c>
      <c r="F11" s="1">
        <f>1/'GEOMETRIC_MEAN'!BS33</f>
      </c>
      <c r="G11">
        <v>1</v>
      </c>
      <c r="H11" s="1">
        <f>'GEOMETRIC_MEAN'!BQ37</f>
      </c>
      <c r="I11" s="1">
        <f>'GEOMETRIC_MEAN'!BQ38</f>
      </c>
      <c r="J11" s="1">
        <f>'GEOMETRIC_MEAN'!BQ39</f>
      </c>
      <c r="K11" s="1">
        <f>SUM(B11:J11)</f>
      </c>
    </row>
    <row r="12">
      <c r="A12" t="str">
        <v>CP7</v>
      </c>
      <c r="B12" s="1">
        <f>1/'GEOMETRIC_MEAN'!BS12</f>
      </c>
      <c r="C12" s="1">
        <f>1/'GEOMETRIC_MEAN'!BS19</f>
      </c>
      <c r="D12" s="1">
        <f>1/'GEOMETRIC_MEAN'!BS25</f>
      </c>
      <c r="E12" s="1">
        <f>1/'GEOMETRIC_MEAN'!BS30</f>
      </c>
      <c r="F12" s="1">
        <f>1/'GEOMETRIC_MEAN'!BS34</f>
      </c>
      <c r="G12" s="1">
        <f>1/'GEOMETRIC_MEAN'!BS37</f>
      </c>
      <c r="H12">
        <v>1</v>
      </c>
      <c r="I12" s="1">
        <f>'GEOMETRIC_MEAN'!BQ40</f>
      </c>
      <c r="J12" s="1">
        <f>'GEOMETRIC_MEAN'!BQ41</f>
      </c>
      <c r="K12" s="1">
        <f>SUM(B12:J12)</f>
      </c>
    </row>
    <row r="13">
      <c r="A13" t="str">
        <v>CP8</v>
      </c>
      <c r="B13" s="1">
        <f>1/'GEOMETRIC_MEAN'!BS13</f>
      </c>
      <c r="C13" s="1">
        <f>1/'GEOMETRIC_MEAN'!BS20</f>
      </c>
      <c r="D13" s="1">
        <f>1/'GEOMETRIC_MEAN'!BS26</f>
      </c>
      <c r="E13" s="1">
        <f>1/'GEOMETRIC_MEAN'!BS31</f>
      </c>
      <c r="F13" s="1">
        <f>1/'GEOMETRIC_MEAN'!BS35</f>
      </c>
      <c r="G13" s="1">
        <f>1/'GEOMETRIC_MEAN'!BS38</f>
      </c>
      <c r="H13" s="1">
        <f>1/'GEOMETRIC_MEAN'!BS40</f>
      </c>
      <c r="I13">
        <v>1</v>
      </c>
      <c r="J13" s="1">
        <f>'GEOMETRIC_MEAN'!BQ42</f>
      </c>
      <c r="K13" s="1">
        <f>SUM(B13:J13)</f>
      </c>
    </row>
    <row r="14">
      <c r="A14" t="str">
        <v>CP9</v>
      </c>
      <c r="B14" s="1">
        <f>1/'GEOMETRIC_MEAN'!BS14</f>
      </c>
      <c r="C14" s="1">
        <f>1/'GEOMETRIC_MEAN'!BS21</f>
      </c>
      <c r="D14" s="1">
        <f>1/'GEOMETRIC_MEAN'!BS27</f>
      </c>
      <c r="E14" s="1">
        <f>1/'GEOMETRIC_MEAN'!BS32</f>
      </c>
      <c r="F14" s="1">
        <f>1/'GEOMETRIC_MEAN'!BS36</f>
      </c>
      <c r="G14" s="1">
        <f>1/'GEOMETRIC_MEAN'!BS39</f>
      </c>
      <c r="H14" s="1">
        <f>1/'GEOMETRIC_MEAN'!BS41</f>
      </c>
      <c r="I14" s="1">
        <f>1/'GEOMETRIC_MEAN'!BS42</f>
      </c>
      <c r="J14">
        <v>1</v>
      </c>
      <c r="K14" s="1">
        <f>SUM(B14:J14)</f>
      </c>
    </row>
    <row r="15">
      <c r="J15" t="str">
        <v>TOTAL</v>
      </c>
      <c r="K15" s="1">
        <f>SUM(K6:K14)</f>
      </c>
    </row>
    <row r="18">
      <c r="A18" t="str">
        <v>MATRIKS TFN — Komponen m (Middle)</v>
      </c>
    </row>
    <row r="19">
      <c r="A19" t="str">
        <v/>
      </c>
      <c r="B19" t="str">
        <v>CP1</v>
      </c>
      <c r="C19" t="str">
        <v>CP2</v>
      </c>
      <c r="D19" t="str">
        <v>CP3</v>
      </c>
      <c r="E19" t="str">
        <v>CP4</v>
      </c>
      <c r="F19" t="str">
        <v>CP5</v>
      </c>
      <c r="G19" t="str">
        <v>CP6</v>
      </c>
      <c r="H19" t="str">
        <v>CP7</v>
      </c>
      <c r="I19" t="str">
        <v>CP8</v>
      </c>
      <c r="J19" t="str">
        <v>CP9</v>
      </c>
      <c r="K19" t="str">
        <v>Σ Baris</v>
      </c>
    </row>
    <row r="20">
      <c r="A20" t="str">
        <v>CP1</v>
      </c>
      <c r="B20">
        <v>1</v>
      </c>
      <c r="C20" s="1">
        <f>'GEOMETRIC_MEAN'!BR7</f>
      </c>
      <c r="D20" s="1">
        <f>'GEOMETRIC_MEAN'!BR8</f>
      </c>
      <c r="E20" s="1">
        <f>'GEOMETRIC_MEAN'!BR9</f>
      </c>
      <c r="F20" s="1">
        <f>'GEOMETRIC_MEAN'!BR10</f>
      </c>
      <c r="G20" s="1">
        <f>'GEOMETRIC_MEAN'!BR11</f>
      </c>
      <c r="H20" s="1">
        <f>'GEOMETRIC_MEAN'!BR12</f>
      </c>
      <c r="I20" s="1">
        <f>'GEOMETRIC_MEAN'!BR13</f>
      </c>
      <c r="J20" s="1">
        <f>'GEOMETRIC_MEAN'!BR14</f>
      </c>
      <c r="K20" s="1">
        <f>SUM(B20:J20)</f>
      </c>
    </row>
    <row r="21">
      <c r="A21" t="str">
        <v>CP2</v>
      </c>
      <c r="B21" s="1">
        <f>1/'GEOMETRIC_MEAN'!BR7</f>
      </c>
      <c r="C21">
        <v>1</v>
      </c>
      <c r="D21" s="1">
        <f>'GEOMETRIC_MEAN'!BR15</f>
      </c>
      <c r="E21" s="1">
        <f>'GEOMETRIC_MEAN'!BR16</f>
      </c>
      <c r="F21" s="1">
        <f>'GEOMETRIC_MEAN'!BR17</f>
      </c>
      <c r="G21" s="1">
        <f>'GEOMETRIC_MEAN'!BR18</f>
      </c>
      <c r="H21" s="1">
        <f>'GEOMETRIC_MEAN'!BR19</f>
      </c>
      <c r="I21" s="1">
        <f>'GEOMETRIC_MEAN'!BR20</f>
      </c>
      <c r="J21" s="1">
        <f>'GEOMETRIC_MEAN'!BR21</f>
      </c>
      <c r="K21" s="1">
        <f>SUM(B21:J21)</f>
      </c>
    </row>
    <row r="22">
      <c r="A22" t="str">
        <v>CP3</v>
      </c>
      <c r="B22" s="1">
        <f>1/'GEOMETRIC_MEAN'!BR8</f>
      </c>
      <c r="C22" s="1">
        <f>1/'GEOMETRIC_MEAN'!BR15</f>
      </c>
      <c r="D22">
        <v>1</v>
      </c>
      <c r="E22" s="1">
        <f>'GEOMETRIC_MEAN'!BR22</f>
      </c>
      <c r="F22" s="1">
        <f>'GEOMETRIC_MEAN'!BR23</f>
      </c>
      <c r="G22" s="1">
        <f>'GEOMETRIC_MEAN'!BR24</f>
      </c>
      <c r="H22" s="1">
        <f>'GEOMETRIC_MEAN'!BR25</f>
      </c>
      <c r="I22" s="1">
        <f>'GEOMETRIC_MEAN'!BR26</f>
      </c>
      <c r="J22" s="1">
        <f>'GEOMETRIC_MEAN'!BR27</f>
      </c>
      <c r="K22" s="1">
        <f>SUM(B22:J22)</f>
      </c>
    </row>
    <row r="23">
      <c r="A23" t="str">
        <v>CP4</v>
      </c>
      <c r="B23" s="1">
        <f>1/'GEOMETRIC_MEAN'!BR9</f>
      </c>
      <c r="C23" s="1">
        <f>1/'GEOMETRIC_MEAN'!BR16</f>
      </c>
      <c r="D23" s="1">
        <f>1/'GEOMETRIC_MEAN'!BR22</f>
      </c>
      <c r="E23">
        <v>1</v>
      </c>
      <c r="F23" s="1">
        <f>'GEOMETRIC_MEAN'!BR28</f>
      </c>
      <c r="G23" s="1">
        <f>'GEOMETRIC_MEAN'!BR29</f>
      </c>
      <c r="H23" s="1">
        <f>'GEOMETRIC_MEAN'!BR30</f>
      </c>
      <c r="I23" s="1">
        <f>'GEOMETRIC_MEAN'!BR31</f>
      </c>
      <c r="J23" s="1">
        <f>'GEOMETRIC_MEAN'!BR32</f>
      </c>
      <c r="K23" s="1">
        <f>SUM(B23:J23)</f>
      </c>
    </row>
    <row r="24">
      <c r="A24" t="str">
        <v>CP5</v>
      </c>
      <c r="B24" s="1">
        <f>1/'GEOMETRIC_MEAN'!BR10</f>
      </c>
      <c r="C24" s="1">
        <f>1/'GEOMETRIC_MEAN'!BR17</f>
      </c>
      <c r="D24" s="1">
        <f>1/'GEOMETRIC_MEAN'!BR23</f>
      </c>
      <c r="E24" s="1">
        <f>1/'GEOMETRIC_MEAN'!BR28</f>
      </c>
      <c r="F24">
        <v>1</v>
      </c>
      <c r="G24" s="1">
        <f>'GEOMETRIC_MEAN'!BR33</f>
      </c>
      <c r="H24" s="1">
        <f>'GEOMETRIC_MEAN'!BR34</f>
      </c>
      <c r="I24" s="1">
        <f>'GEOMETRIC_MEAN'!BR35</f>
      </c>
      <c r="J24" s="1">
        <f>'GEOMETRIC_MEAN'!BR36</f>
      </c>
      <c r="K24" s="1">
        <f>SUM(B24:J24)</f>
      </c>
    </row>
    <row r="25">
      <c r="A25" t="str">
        <v>CP6</v>
      </c>
      <c r="B25" s="1">
        <f>1/'GEOMETRIC_MEAN'!BR11</f>
      </c>
      <c r="C25" s="1">
        <f>1/'GEOMETRIC_MEAN'!BR18</f>
      </c>
      <c r="D25" s="1">
        <f>1/'GEOMETRIC_MEAN'!BR24</f>
      </c>
      <c r="E25" s="1">
        <f>1/'GEOMETRIC_MEAN'!BR29</f>
      </c>
      <c r="F25" s="1">
        <f>1/'GEOMETRIC_MEAN'!BR33</f>
      </c>
      <c r="G25">
        <v>1</v>
      </c>
      <c r="H25" s="1">
        <f>'GEOMETRIC_MEAN'!BR37</f>
      </c>
      <c r="I25" s="1">
        <f>'GEOMETRIC_MEAN'!BR38</f>
      </c>
      <c r="J25" s="1">
        <f>'GEOMETRIC_MEAN'!BR39</f>
      </c>
      <c r="K25" s="1">
        <f>SUM(B25:J25)</f>
      </c>
    </row>
    <row r="26">
      <c r="A26" t="str">
        <v>CP7</v>
      </c>
      <c r="B26" s="1">
        <f>1/'GEOMETRIC_MEAN'!BR12</f>
      </c>
      <c r="C26" s="1">
        <f>1/'GEOMETRIC_MEAN'!BR19</f>
      </c>
      <c r="D26" s="1">
        <f>1/'GEOMETRIC_MEAN'!BR25</f>
      </c>
      <c r="E26" s="1">
        <f>1/'GEOMETRIC_MEAN'!BR30</f>
      </c>
      <c r="F26" s="1">
        <f>1/'GEOMETRIC_MEAN'!BR34</f>
      </c>
      <c r="G26" s="1">
        <f>1/'GEOMETRIC_MEAN'!BR37</f>
      </c>
      <c r="H26">
        <v>1</v>
      </c>
      <c r="I26" s="1">
        <f>'GEOMETRIC_MEAN'!BR40</f>
      </c>
      <c r="J26" s="1">
        <f>'GEOMETRIC_MEAN'!BR41</f>
      </c>
      <c r="K26" s="1">
        <f>SUM(B26:J26)</f>
      </c>
    </row>
    <row r="27">
      <c r="A27" t="str">
        <v>CP8</v>
      </c>
      <c r="B27" s="1">
        <f>1/'GEOMETRIC_MEAN'!BR13</f>
      </c>
      <c r="C27" s="1">
        <f>1/'GEOMETRIC_MEAN'!BR20</f>
      </c>
      <c r="D27" s="1">
        <f>1/'GEOMETRIC_MEAN'!BR26</f>
      </c>
      <c r="E27" s="1">
        <f>1/'GEOMETRIC_MEAN'!BR31</f>
      </c>
      <c r="F27" s="1">
        <f>1/'GEOMETRIC_MEAN'!BR35</f>
      </c>
      <c r="G27" s="1">
        <f>1/'GEOMETRIC_MEAN'!BR38</f>
      </c>
      <c r="H27" s="1">
        <f>1/'GEOMETRIC_MEAN'!BR40</f>
      </c>
      <c r="I27">
        <v>1</v>
      </c>
      <c r="J27" s="1">
        <f>'GEOMETRIC_MEAN'!BR42</f>
      </c>
      <c r="K27" s="1">
        <f>SUM(B27:J27)</f>
      </c>
    </row>
    <row r="28">
      <c r="A28" t="str">
        <v>CP9</v>
      </c>
      <c r="B28" s="1">
        <f>1/'GEOMETRIC_MEAN'!BR14</f>
      </c>
      <c r="C28" s="1">
        <f>1/'GEOMETRIC_MEAN'!BR21</f>
      </c>
      <c r="D28" s="1">
        <f>1/'GEOMETRIC_MEAN'!BR27</f>
      </c>
      <c r="E28" s="1">
        <f>1/'GEOMETRIC_MEAN'!BR32</f>
      </c>
      <c r="F28" s="1">
        <f>1/'GEOMETRIC_MEAN'!BR36</f>
      </c>
      <c r="G28" s="1">
        <f>1/'GEOMETRIC_MEAN'!BR39</f>
      </c>
      <c r="H28" s="1">
        <f>1/'GEOMETRIC_MEAN'!BR41</f>
      </c>
      <c r="I28" s="1">
        <f>1/'GEOMETRIC_MEAN'!BR42</f>
      </c>
      <c r="J28">
        <v>1</v>
      </c>
      <c r="K28" s="1">
        <f>SUM(B28:J28)</f>
      </c>
    </row>
    <row r="29">
      <c r="J29" t="str">
        <v>TOTAL</v>
      </c>
      <c r="K29" s="1">
        <f>SUM(K20:K28)</f>
      </c>
    </row>
    <row r="32">
      <c r="A32" t="str">
        <v>MATRIKS TFN — Komponen u (Upper)</v>
      </c>
    </row>
    <row r="33">
      <c r="A33" t="str">
        <v/>
      </c>
      <c r="B33" t="str">
        <v>CP1</v>
      </c>
      <c r="C33" t="str">
        <v>CP2</v>
      </c>
      <c r="D33" t="str">
        <v>CP3</v>
      </c>
      <c r="E33" t="str">
        <v>CP4</v>
      </c>
      <c r="F33" t="str">
        <v>CP5</v>
      </c>
      <c r="G33" t="str">
        <v>CP6</v>
      </c>
      <c r="H33" t="str">
        <v>CP7</v>
      </c>
      <c r="I33" t="str">
        <v>CP8</v>
      </c>
      <c r="J33" t="str">
        <v>CP9</v>
      </c>
      <c r="K33" t="str">
        <v>Σ Baris</v>
      </c>
    </row>
    <row r="34">
      <c r="A34" t="str">
        <v>CP1</v>
      </c>
      <c r="B34">
        <v>1</v>
      </c>
      <c r="C34" s="1">
        <f>'GEOMETRIC_MEAN'!BS7</f>
      </c>
      <c r="D34" s="1">
        <f>'GEOMETRIC_MEAN'!BS8</f>
      </c>
      <c r="E34" s="1">
        <f>'GEOMETRIC_MEAN'!BS9</f>
      </c>
      <c r="F34" s="1">
        <f>'GEOMETRIC_MEAN'!BS10</f>
      </c>
      <c r="G34" s="1">
        <f>'GEOMETRIC_MEAN'!BS11</f>
      </c>
      <c r="H34" s="1">
        <f>'GEOMETRIC_MEAN'!BS12</f>
      </c>
      <c r="I34" s="1">
        <f>'GEOMETRIC_MEAN'!BS13</f>
      </c>
      <c r="J34" s="1">
        <f>'GEOMETRIC_MEAN'!BS14</f>
      </c>
      <c r="K34" s="1">
        <f>SUM(B34:J34)</f>
      </c>
    </row>
    <row r="35">
      <c r="A35" t="str">
        <v>CP2</v>
      </c>
      <c r="B35" s="1">
        <f>1/'GEOMETRIC_MEAN'!BQ7</f>
      </c>
      <c r="C35">
        <v>1</v>
      </c>
      <c r="D35" s="1">
        <f>'GEOMETRIC_MEAN'!BS15</f>
      </c>
      <c r="E35" s="1">
        <f>'GEOMETRIC_MEAN'!BS16</f>
      </c>
      <c r="F35" s="1">
        <f>'GEOMETRIC_MEAN'!BS17</f>
      </c>
      <c r="G35" s="1">
        <f>'GEOMETRIC_MEAN'!BS18</f>
      </c>
      <c r="H35" s="1">
        <f>'GEOMETRIC_MEAN'!BS19</f>
      </c>
      <c r="I35" s="1">
        <f>'GEOMETRIC_MEAN'!BS20</f>
      </c>
      <c r="J35" s="1">
        <f>'GEOMETRIC_MEAN'!BS21</f>
      </c>
      <c r="K35" s="1">
        <f>SUM(B35:J35)</f>
      </c>
    </row>
    <row r="36">
      <c r="A36" t="str">
        <v>CP3</v>
      </c>
      <c r="B36" s="1">
        <f>1/'GEOMETRIC_MEAN'!BQ8</f>
      </c>
      <c r="C36" s="1">
        <f>1/'GEOMETRIC_MEAN'!BQ15</f>
      </c>
      <c r="D36">
        <v>1</v>
      </c>
      <c r="E36" s="1">
        <f>'GEOMETRIC_MEAN'!BS22</f>
      </c>
      <c r="F36" s="1">
        <f>'GEOMETRIC_MEAN'!BS23</f>
      </c>
      <c r="G36" s="1">
        <f>'GEOMETRIC_MEAN'!BS24</f>
      </c>
      <c r="H36" s="1">
        <f>'GEOMETRIC_MEAN'!BS25</f>
      </c>
      <c r="I36" s="1">
        <f>'GEOMETRIC_MEAN'!BS26</f>
      </c>
      <c r="J36" s="1">
        <f>'GEOMETRIC_MEAN'!BS27</f>
      </c>
      <c r="K36" s="1">
        <f>SUM(B36:J36)</f>
      </c>
    </row>
    <row r="37">
      <c r="A37" t="str">
        <v>CP4</v>
      </c>
      <c r="B37" s="1">
        <f>1/'GEOMETRIC_MEAN'!BQ9</f>
      </c>
      <c r="C37" s="1">
        <f>1/'GEOMETRIC_MEAN'!BQ16</f>
      </c>
      <c r="D37" s="1">
        <f>1/'GEOMETRIC_MEAN'!BQ22</f>
      </c>
      <c r="E37">
        <v>1</v>
      </c>
      <c r="F37" s="1">
        <f>'GEOMETRIC_MEAN'!BS28</f>
      </c>
      <c r="G37" s="1">
        <f>'GEOMETRIC_MEAN'!BS29</f>
      </c>
      <c r="H37" s="1">
        <f>'GEOMETRIC_MEAN'!BS30</f>
      </c>
      <c r="I37" s="1">
        <f>'GEOMETRIC_MEAN'!BS31</f>
      </c>
      <c r="J37" s="1">
        <f>'GEOMETRIC_MEAN'!BS32</f>
      </c>
      <c r="K37" s="1">
        <f>SUM(B37:J37)</f>
      </c>
    </row>
    <row r="38">
      <c r="A38" t="str">
        <v>CP5</v>
      </c>
      <c r="B38" s="1">
        <f>1/'GEOMETRIC_MEAN'!BQ10</f>
      </c>
      <c r="C38" s="1">
        <f>1/'GEOMETRIC_MEAN'!BQ17</f>
      </c>
      <c r="D38" s="1">
        <f>1/'GEOMETRIC_MEAN'!BQ23</f>
      </c>
      <c r="E38" s="1">
        <f>1/'GEOMETRIC_MEAN'!BQ28</f>
      </c>
      <c r="F38">
        <v>1</v>
      </c>
      <c r="G38" s="1">
        <f>'GEOMETRIC_MEAN'!BS33</f>
      </c>
      <c r="H38" s="1">
        <f>'GEOMETRIC_MEAN'!BS34</f>
      </c>
      <c r="I38" s="1">
        <f>'GEOMETRIC_MEAN'!BS35</f>
      </c>
      <c r="J38" s="1">
        <f>'GEOMETRIC_MEAN'!BS36</f>
      </c>
      <c r="K38" s="1">
        <f>SUM(B38:J38)</f>
      </c>
    </row>
    <row r="39">
      <c r="A39" t="str">
        <v>CP6</v>
      </c>
      <c r="B39" s="1">
        <f>1/'GEOMETRIC_MEAN'!BQ11</f>
      </c>
      <c r="C39" s="1">
        <f>1/'GEOMETRIC_MEAN'!BQ18</f>
      </c>
      <c r="D39" s="1">
        <f>1/'GEOMETRIC_MEAN'!BQ24</f>
      </c>
      <c r="E39" s="1">
        <f>1/'GEOMETRIC_MEAN'!BQ29</f>
      </c>
      <c r="F39" s="1">
        <f>1/'GEOMETRIC_MEAN'!BQ33</f>
      </c>
      <c r="G39">
        <v>1</v>
      </c>
      <c r="H39" s="1">
        <f>'GEOMETRIC_MEAN'!BS37</f>
      </c>
      <c r="I39" s="1">
        <f>'GEOMETRIC_MEAN'!BS38</f>
      </c>
      <c r="J39" s="1">
        <f>'GEOMETRIC_MEAN'!BS39</f>
      </c>
      <c r="K39" s="1">
        <f>SUM(B39:J39)</f>
      </c>
    </row>
    <row r="40">
      <c r="A40" t="str">
        <v>CP7</v>
      </c>
      <c r="B40" s="1">
        <f>1/'GEOMETRIC_MEAN'!BQ12</f>
      </c>
      <c r="C40" s="1">
        <f>1/'GEOMETRIC_MEAN'!BQ19</f>
      </c>
      <c r="D40" s="1">
        <f>1/'GEOMETRIC_MEAN'!BQ25</f>
      </c>
      <c r="E40" s="1">
        <f>1/'GEOMETRIC_MEAN'!BQ30</f>
      </c>
      <c r="F40" s="1">
        <f>1/'GEOMETRIC_MEAN'!BQ34</f>
      </c>
      <c r="G40" s="1">
        <f>1/'GEOMETRIC_MEAN'!BQ37</f>
      </c>
      <c r="H40">
        <v>1</v>
      </c>
      <c r="I40" s="1">
        <f>'GEOMETRIC_MEAN'!BS40</f>
      </c>
      <c r="J40" s="1">
        <f>'GEOMETRIC_MEAN'!BS41</f>
      </c>
      <c r="K40" s="1">
        <f>SUM(B40:J40)</f>
      </c>
    </row>
    <row r="41">
      <c r="A41" t="str">
        <v>CP8</v>
      </c>
      <c r="B41" s="1">
        <f>1/'GEOMETRIC_MEAN'!BQ13</f>
      </c>
      <c r="C41" s="1">
        <f>1/'GEOMETRIC_MEAN'!BQ20</f>
      </c>
      <c r="D41" s="1">
        <f>1/'GEOMETRIC_MEAN'!BQ26</f>
      </c>
      <c r="E41" s="1">
        <f>1/'GEOMETRIC_MEAN'!BQ31</f>
      </c>
      <c r="F41" s="1">
        <f>1/'GEOMETRIC_MEAN'!BQ35</f>
      </c>
      <c r="G41" s="1">
        <f>1/'GEOMETRIC_MEAN'!BQ38</f>
      </c>
      <c r="H41" s="1">
        <f>1/'GEOMETRIC_MEAN'!BQ40</f>
      </c>
      <c r="I41">
        <v>1</v>
      </c>
      <c r="J41" s="1">
        <f>'GEOMETRIC_MEAN'!BS42</f>
      </c>
      <c r="K41" s="1">
        <f>SUM(B41:J41)</f>
      </c>
    </row>
    <row r="42">
      <c r="A42" t="str">
        <v>CP9</v>
      </c>
      <c r="B42" s="1">
        <f>1/'GEOMETRIC_MEAN'!BQ14</f>
      </c>
      <c r="C42" s="1">
        <f>1/'GEOMETRIC_MEAN'!BQ21</f>
      </c>
      <c r="D42" s="1">
        <f>1/'GEOMETRIC_MEAN'!BQ27</f>
      </c>
      <c r="E42" s="1">
        <f>1/'GEOMETRIC_MEAN'!BQ32</f>
      </c>
      <c r="F42" s="1">
        <f>1/'GEOMETRIC_MEAN'!BQ36</f>
      </c>
      <c r="G42" s="1">
        <f>1/'GEOMETRIC_MEAN'!BQ39</f>
      </c>
      <c r="H42" s="1">
        <f>1/'GEOMETRIC_MEAN'!BQ41</f>
      </c>
      <c r="I42" s="1">
        <f>1/'GEOMETRIC_MEAN'!BQ42</f>
      </c>
      <c r="J42">
        <v>1</v>
      </c>
      <c r="K42" s="1">
        <f>SUM(B42:J42)</f>
      </c>
    </row>
    <row r="43">
      <c r="J43" t="str">
        <v>TOTAL</v>
      </c>
      <c r="K43" s="1">
        <f>SUM(K34:K42)</f>
      </c>
    </row>
  </sheetData>
  <ignoredErrors>
    <ignoredError numberStoredAsText="1" sqref="A1:L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2.83203125" customWidth="1"/>
    <col min="8" max="8" width="10.83203125" customWidth="1"/>
    <col min="9" max="9" width="14.83203125" customWidth="1"/>
    <col min="10" max="10" width="14.83203125" customWidth="1"/>
  </cols>
  <sheetData>
    <row r="1">
      <c r="A1" t="str">
        <v>FUZZY SYNTHETIC EXTENT (FSE) + DEFUZZIFIKASI + BOBOT FINAL</v>
      </c>
    </row>
    <row r="2">
      <c r="A2" t="str">
        <v>Metode: Chang (1996) Extent Analysis</v>
      </c>
    </row>
    <row r="3">
      <c r="A3" t="str">
        <v>Si = (Σ baris_i) ⊗ (Σ total)^(-1)</v>
      </c>
    </row>
    <row r="4">
      <c r="A4" t="str">
        <v>Si_l = Σl_i × (1/ΣΣu) | Si_m = Σm_i × (1/ΣΣm) | Si_u = Σu_i × (1/ΣΣl)</v>
      </c>
    </row>
    <row r="5">
      <c r="A5" t="str">
        <v>Defuzzifikasi CoA: D = (l + m + u) / 3</v>
      </c>
    </row>
    <row r="7">
      <c r="A7" t="str">
        <v>LANGKAH 1: Fuzzy Synthetic Extent</v>
      </c>
    </row>
    <row r="8">
      <c r="A8" t="str">
        <v>Kriteria</v>
      </c>
      <c r="B8" t="str">
        <v>Σl_i</v>
      </c>
      <c r="C8" t="str">
        <v>Σm_i</v>
      </c>
      <c r="D8" t="str">
        <v>Σu_i</v>
      </c>
      <c r="E8" t="str">
        <v>ΣΣl</v>
      </c>
      <c r="F8" t="str">
        <v>ΣΣm</v>
      </c>
      <c r="G8" t="str">
        <v>ΣΣu</v>
      </c>
      <c r="H8" t="str">
        <v>Si_l</v>
      </c>
      <c r="I8" t="str">
        <v>Si_m</v>
      </c>
      <c r="J8" t="str">
        <v>Si_u</v>
      </c>
    </row>
    <row r="9">
      <c r="A9" t="str">
        <v>CP1</v>
      </c>
      <c r="B9" s="1">
        <f>'MATRIKS_TFN'!K6</f>
      </c>
      <c r="C9" s="1">
        <f>'MATRIKS_TFN'!K20</f>
      </c>
      <c r="D9" s="1">
        <f>'MATRIKS_TFN'!K34</f>
      </c>
      <c r="E9" s="1">
        <f>'MATRIKS_TFN'!K15</f>
      </c>
      <c r="F9" s="1">
        <f>'MATRIKS_TFN'!K29</f>
      </c>
      <c r="G9" s="1">
        <f>'MATRIKS_TFN'!K43</f>
      </c>
      <c r="H9" s="2">
        <f>B9/G9</f>
      </c>
      <c r="I9" s="2">
        <f>C9/F9</f>
      </c>
      <c r="J9" s="2">
        <f>D9/E9</f>
      </c>
    </row>
    <row r="10">
      <c r="A10" t="str">
        <v>CP2</v>
      </c>
      <c r="B10" s="1">
        <f>'MATRIKS_TFN'!K7</f>
      </c>
      <c r="C10" s="1">
        <f>'MATRIKS_TFN'!K21</f>
      </c>
      <c r="D10" s="1">
        <f>'MATRIKS_TFN'!K35</f>
      </c>
      <c r="E10" s="1">
        <f>'MATRIKS_TFN'!K15</f>
      </c>
      <c r="F10" s="1">
        <f>'MATRIKS_TFN'!K29</f>
      </c>
      <c r="G10" s="1">
        <f>'MATRIKS_TFN'!K43</f>
      </c>
      <c r="H10" s="2">
        <f>B10/G10</f>
      </c>
      <c r="I10" s="2">
        <f>C10/F10</f>
      </c>
      <c r="J10" s="2">
        <f>D10/E10</f>
      </c>
    </row>
    <row r="11">
      <c r="A11" t="str">
        <v>CP3</v>
      </c>
      <c r="B11" s="1">
        <f>'MATRIKS_TFN'!K8</f>
      </c>
      <c r="C11" s="1">
        <f>'MATRIKS_TFN'!K22</f>
      </c>
      <c r="D11" s="1">
        <f>'MATRIKS_TFN'!K36</f>
      </c>
      <c r="E11" s="1">
        <f>'MATRIKS_TFN'!K15</f>
      </c>
      <c r="F11" s="1">
        <f>'MATRIKS_TFN'!K29</f>
      </c>
      <c r="G11" s="1">
        <f>'MATRIKS_TFN'!K43</f>
      </c>
      <c r="H11" s="2">
        <f>B11/G11</f>
      </c>
      <c r="I11" s="2">
        <f>C11/F11</f>
      </c>
      <c r="J11" s="2">
        <f>D11/E11</f>
      </c>
    </row>
    <row r="12">
      <c r="A12" t="str">
        <v>CP4</v>
      </c>
      <c r="B12" s="1">
        <f>'MATRIKS_TFN'!K9</f>
      </c>
      <c r="C12" s="1">
        <f>'MATRIKS_TFN'!K23</f>
      </c>
      <c r="D12" s="1">
        <f>'MATRIKS_TFN'!K37</f>
      </c>
      <c r="E12" s="1">
        <f>'MATRIKS_TFN'!K15</f>
      </c>
      <c r="F12" s="1">
        <f>'MATRIKS_TFN'!K29</f>
      </c>
      <c r="G12" s="1">
        <f>'MATRIKS_TFN'!K43</f>
      </c>
      <c r="H12" s="2">
        <f>B12/G12</f>
      </c>
      <c r="I12" s="2">
        <f>C12/F12</f>
      </c>
      <c r="J12" s="2">
        <f>D12/E12</f>
      </c>
    </row>
    <row r="13">
      <c r="A13" t="str">
        <v>CP5</v>
      </c>
      <c r="B13" s="1">
        <f>'MATRIKS_TFN'!K10</f>
      </c>
      <c r="C13" s="1">
        <f>'MATRIKS_TFN'!K24</f>
      </c>
      <c r="D13" s="1">
        <f>'MATRIKS_TFN'!K38</f>
      </c>
      <c r="E13" s="1">
        <f>'MATRIKS_TFN'!K15</f>
      </c>
      <c r="F13" s="1">
        <f>'MATRIKS_TFN'!K29</f>
      </c>
      <c r="G13" s="1">
        <f>'MATRIKS_TFN'!K43</f>
      </c>
      <c r="H13" s="2">
        <f>B13/G13</f>
      </c>
      <c r="I13" s="2">
        <f>C13/F13</f>
      </c>
      <c r="J13" s="2">
        <f>D13/E13</f>
      </c>
    </row>
    <row r="14">
      <c r="A14" t="str">
        <v>CP6</v>
      </c>
      <c r="B14" s="1">
        <f>'MATRIKS_TFN'!K11</f>
      </c>
      <c r="C14" s="1">
        <f>'MATRIKS_TFN'!K25</f>
      </c>
      <c r="D14" s="1">
        <f>'MATRIKS_TFN'!K39</f>
      </c>
      <c r="E14" s="1">
        <f>'MATRIKS_TFN'!K15</f>
      </c>
      <c r="F14" s="1">
        <f>'MATRIKS_TFN'!K29</f>
      </c>
      <c r="G14" s="1">
        <f>'MATRIKS_TFN'!K43</f>
      </c>
      <c r="H14" s="2">
        <f>B14/G14</f>
      </c>
      <c r="I14" s="2">
        <f>C14/F14</f>
      </c>
      <c r="J14" s="2">
        <f>D14/E14</f>
      </c>
    </row>
    <row r="15">
      <c r="A15" t="str">
        <v>CP7</v>
      </c>
      <c r="B15" s="1">
        <f>'MATRIKS_TFN'!K12</f>
      </c>
      <c r="C15" s="1">
        <f>'MATRIKS_TFN'!K26</f>
      </c>
      <c r="D15" s="1">
        <f>'MATRIKS_TFN'!K40</f>
      </c>
      <c r="E15" s="1">
        <f>'MATRIKS_TFN'!K15</f>
      </c>
      <c r="F15" s="1">
        <f>'MATRIKS_TFN'!K29</f>
      </c>
      <c r="G15" s="1">
        <f>'MATRIKS_TFN'!K43</f>
      </c>
      <c r="H15" s="2">
        <f>B15/G15</f>
      </c>
      <c r="I15" s="2">
        <f>C15/F15</f>
      </c>
      <c r="J15" s="2">
        <f>D15/E15</f>
      </c>
    </row>
    <row r="16">
      <c r="A16" t="str">
        <v>CP8</v>
      </c>
      <c r="B16" s="1">
        <f>'MATRIKS_TFN'!K13</f>
      </c>
      <c r="C16" s="1">
        <f>'MATRIKS_TFN'!K27</f>
      </c>
      <c r="D16" s="1">
        <f>'MATRIKS_TFN'!K41</f>
      </c>
      <c r="E16" s="1">
        <f>'MATRIKS_TFN'!K15</f>
      </c>
      <c r="F16" s="1">
        <f>'MATRIKS_TFN'!K29</f>
      </c>
      <c r="G16" s="1">
        <f>'MATRIKS_TFN'!K43</f>
      </c>
      <c r="H16" s="2">
        <f>B16/G16</f>
      </c>
      <c r="I16" s="2">
        <f>C16/F16</f>
      </c>
      <c r="J16" s="2">
        <f>D16/E16</f>
      </c>
    </row>
    <row r="17">
      <c r="A17" t="str">
        <v>CP9</v>
      </c>
      <c r="B17" s="1">
        <f>'MATRIKS_TFN'!K14</f>
      </c>
      <c r="C17" s="1">
        <f>'MATRIKS_TFN'!K28</f>
      </c>
      <c r="D17" s="1">
        <f>'MATRIKS_TFN'!K42</f>
      </c>
      <c r="E17" s="1">
        <f>'MATRIKS_TFN'!K15</f>
      </c>
      <c r="F17" s="1">
        <f>'MATRIKS_TFN'!K29</f>
      </c>
      <c r="G17" s="1">
        <f>'MATRIKS_TFN'!K43</f>
      </c>
      <c r="H17" s="2">
        <f>B17/G17</f>
      </c>
      <c r="I17" s="2">
        <f>C17/F17</f>
      </c>
      <c r="J17" s="2">
        <f>D17/E17</f>
      </c>
    </row>
    <row r="20">
      <c r="A20" t="str">
        <v>LANGKAH 2: Defuzzifikasi (Center of Area) + Normalisasi</v>
      </c>
    </row>
    <row r="21">
      <c r="A21" t="str">
        <v>Kriteria</v>
      </c>
      <c r="B21" t="str">
        <v>Si_l</v>
      </c>
      <c r="C21" t="str">
        <v>Si_m</v>
      </c>
      <c r="D21" t="str">
        <v>Si_u</v>
      </c>
      <c r="E21" t="str">
        <v>Defuzzy=(l+m+u)/3</v>
      </c>
      <c r="F21" t="str">
        <v>Bobot Normal</v>
      </c>
      <c r="G21" t="str">
        <v>Bobot %</v>
      </c>
      <c r="H21" t="str">
        <v>Ranking</v>
      </c>
    </row>
    <row r="22">
      <c r="A22" t="str">
        <v>CP1</v>
      </c>
      <c r="B22" s="2">
        <f>H9</f>
      </c>
      <c r="C22" s="2">
        <f>I9</f>
      </c>
      <c r="D22" s="2">
        <f>J9</f>
      </c>
      <c r="E22" s="2">
        <f>(B22+C22+D22)/3</f>
      </c>
      <c r="F22" s="2">
        <f>E22/E31</f>
      </c>
      <c r="G22" s="3">
        <f>F22*100</f>
      </c>
      <c r="H22">
        <f>RANK(F22,F$22:F$30,0)</f>
      </c>
    </row>
    <row r="23">
      <c r="A23" t="str">
        <v>CP2</v>
      </c>
      <c r="B23" s="2">
        <f>H10</f>
      </c>
      <c r="C23" s="2">
        <f>I10</f>
      </c>
      <c r="D23" s="2">
        <f>J10</f>
      </c>
      <c r="E23" s="2">
        <f>(B23+C23+D23)/3</f>
      </c>
      <c r="F23" s="2">
        <f>E23/E31</f>
      </c>
      <c r="G23" s="3">
        <f>F23*100</f>
      </c>
      <c r="H23">
        <f>RANK(F23,F$22:F$30,0)</f>
      </c>
    </row>
    <row r="24">
      <c r="A24" t="str">
        <v>CP3</v>
      </c>
      <c r="B24" s="2">
        <f>H11</f>
      </c>
      <c r="C24" s="2">
        <f>I11</f>
      </c>
      <c r="D24" s="2">
        <f>J11</f>
      </c>
      <c r="E24" s="2">
        <f>(B24+C24+D24)/3</f>
      </c>
      <c r="F24" s="2">
        <f>E24/E31</f>
      </c>
      <c r="G24" s="3">
        <f>F24*100</f>
      </c>
      <c r="H24">
        <f>RANK(F24,F$22:F$30,0)</f>
      </c>
    </row>
    <row r="25">
      <c r="A25" t="str">
        <v>CP4</v>
      </c>
      <c r="B25" s="2">
        <f>H12</f>
      </c>
      <c r="C25" s="2">
        <f>I12</f>
      </c>
      <c r="D25" s="2">
        <f>J12</f>
      </c>
      <c r="E25" s="2">
        <f>(B25+C25+D25)/3</f>
      </c>
      <c r="F25" s="2">
        <f>E25/E31</f>
      </c>
      <c r="G25" s="3">
        <f>F25*100</f>
      </c>
      <c r="H25">
        <f>RANK(F25,F$22:F$30,0)</f>
      </c>
    </row>
    <row r="26">
      <c r="A26" t="str">
        <v>CP5</v>
      </c>
      <c r="B26" s="2">
        <f>H13</f>
      </c>
      <c r="C26" s="2">
        <f>I13</f>
      </c>
      <c r="D26" s="2">
        <f>J13</f>
      </c>
      <c r="E26" s="2">
        <f>(B26+C26+D26)/3</f>
      </c>
      <c r="F26" s="2">
        <f>E26/E31</f>
      </c>
      <c r="G26" s="3">
        <f>F26*100</f>
      </c>
      <c r="H26">
        <f>RANK(F26,F$22:F$30,0)</f>
      </c>
    </row>
    <row r="27">
      <c r="A27" t="str">
        <v>CP6</v>
      </c>
      <c r="B27" s="2">
        <f>H14</f>
      </c>
      <c r="C27" s="2">
        <f>I14</f>
      </c>
      <c r="D27" s="2">
        <f>J14</f>
      </c>
      <c r="E27" s="2">
        <f>(B27+C27+D27)/3</f>
      </c>
      <c r="F27" s="2">
        <f>E27/E31</f>
      </c>
      <c r="G27" s="3">
        <f>F27*100</f>
      </c>
      <c r="H27">
        <f>RANK(F27,F$22:F$30,0)</f>
      </c>
    </row>
    <row r="28">
      <c r="A28" t="str">
        <v>CP7</v>
      </c>
      <c r="B28" s="2">
        <f>H15</f>
      </c>
      <c r="C28" s="2">
        <f>I15</f>
      </c>
      <c r="D28" s="2">
        <f>J15</f>
      </c>
      <c r="E28" s="2">
        <f>(B28+C28+D28)/3</f>
      </c>
      <c r="F28" s="2">
        <f>E28/E31</f>
      </c>
      <c r="G28" s="3">
        <f>F28*100</f>
      </c>
      <c r="H28">
        <f>RANK(F28,F$22:F$30,0)</f>
      </c>
    </row>
    <row r="29">
      <c r="A29" t="str">
        <v>CP8</v>
      </c>
      <c r="B29" s="2">
        <f>H16</f>
      </c>
      <c r="C29" s="2">
        <f>I16</f>
      </c>
      <c r="D29" s="2">
        <f>J16</f>
      </c>
      <c r="E29" s="2">
        <f>(B29+C29+D29)/3</f>
      </c>
      <c r="F29" s="2">
        <f>E29/E31</f>
      </c>
      <c r="G29" s="3">
        <f>F29*100</f>
      </c>
      <c r="H29">
        <f>RANK(F29,F$22:F$30,0)</f>
      </c>
    </row>
    <row r="30">
      <c r="A30" t="str">
        <v>CP9</v>
      </c>
      <c r="B30" s="2">
        <f>H17</f>
      </c>
      <c r="C30" s="2">
        <f>I17</f>
      </c>
      <c r="D30" s="2">
        <f>J17</f>
      </c>
      <c r="E30" s="2">
        <f>(B30+C30+D30)/3</f>
      </c>
      <c r="F30" s="2">
        <f>E30/E31</f>
      </c>
      <c r="G30" s="3">
        <f>F30*100</f>
      </c>
      <c r="H30">
        <f>RANK(F30,F$22:F$30,0)</f>
      </c>
    </row>
    <row r="31">
      <c r="D31" t="str">
        <v>TOTAL</v>
      </c>
      <c r="E31" s="2">
        <f>SUM(E22:E30)</f>
      </c>
    </row>
    <row r="32">
      <c r="E32" t="str">
        <v>Total Wi</v>
      </c>
      <c r="F32" s="2">
        <f>SUM(F22:F30)</f>
      </c>
      <c r="G32" t="str">
        <v>← harus = 1</v>
      </c>
    </row>
  </sheetData>
  <ignoredErrors>
    <ignoredError numberStoredAsText="1" sqref="A1:K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CONSISTENCY RATIO (CR) — Matriks Defuzzified</v>
      </c>
    </row>
    <row r="2">
      <c r="A2" t="str">
        <v>Defuzzify setiap sel TFN → D(i,j)=(l+m+u)/3 → Matriks crisp → CR</v>
      </c>
    </row>
    <row r="4">
      <c r="A4" t="str">
        <v>LANGKAH 1: Matriks Crisp (Defuzzified)</v>
      </c>
    </row>
    <row r="5">
      <c r="A5" t="str">
        <v>D(i,j) = (l(i,j) + m(i,j) + u(i,j)) / 3</v>
      </c>
    </row>
    <row r="6">
      <c r="A6" t="str">
        <v/>
      </c>
      <c r="B6" t="str">
        <v>CP1</v>
      </c>
      <c r="C6" t="str">
        <v>CP2</v>
      </c>
      <c r="D6" t="str">
        <v>CP3</v>
      </c>
      <c r="E6" t="str">
        <v>CP4</v>
      </c>
      <c r="F6" t="str">
        <v>CP5</v>
      </c>
      <c r="G6" t="str">
        <v>CP6</v>
      </c>
      <c r="H6" t="str">
        <v>CP7</v>
      </c>
      <c r="I6" t="str">
        <v>CP8</v>
      </c>
      <c r="J6" t="str">
        <v>CP9</v>
      </c>
    </row>
    <row r="7">
      <c r="A7" t="str">
        <v>CP1</v>
      </c>
      <c r="B7">
        <v>1</v>
      </c>
      <c r="C7" s="1">
        <f>('MATRIKS_TFN'!C6+'MATRIKS_TFN'!C20+'MATRIKS_TFN'!C34)/3</f>
      </c>
      <c r="D7" s="1">
        <f>('MATRIKS_TFN'!D6+'MATRIKS_TFN'!D20+'MATRIKS_TFN'!D34)/3</f>
      </c>
      <c r="E7" s="1">
        <f>('MATRIKS_TFN'!E6+'MATRIKS_TFN'!E20+'MATRIKS_TFN'!E34)/3</f>
      </c>
      <c r="F7" s="1">
        <f>('MATRIKS_TFN'!F6+'MATRIKS_TFN'!F20+'MATRIKS_TFN'!F34)/3</f>
      </c>
      <c r="G7" s="1">
        <f>('MATRIKS_TFN'!G6+'MATRIKS_TFN'!G20+'MATRIKS_TFN'!G34)/3</f>
      </c>
      <c r="H7" s="1">
        <f>('MATRIKS_TFN'!H6+'MATRIKS_TFN'!H20+'MATRIKS_TFN'!H34)/3</f>
      </c>
      <c r="I7" s="1">
        <f>('MATRIKS_TFN'!I6+'MATRIKS_TFN'!I20+'MATRIKS_TFN'!I34)/3</f>
      </c>
      <c r="J7" s="1">
        <f>('MATRIKS_TFN'!J6+'MATRIKS_TFN'!J20+'MATRIKS_TFN'!J34)/3</f>
      </c>
    </row>
    <row r="8">
      <c r="A8" t="str">
        <v>CP2</v>
      </c>
      <c r="B8" s="1">
        <f>('MATRIKS_TFN'!B7+'MATRIKS_TFN'!B21+'MATRIKS_TFN'!B35)/3</f>
      </c>
      <c r="C8">
        <v>1</v>
      </c>
      <c r="D8" s="1">
        <f>('MATRIKS_TFN'!D7+'MATRIKS_TFN'!D21+'MATRIKS_TFN'!D35)/3</f>
      </c>
      <c r="E8" s="1">
        <f>('MATRIKS_TFN'!E7+'MATRIKS_TFN'!E21+'MATRIKS_TFN'!E35)/3</f>
      </c>
      <c r="F8" s="1">
        <f>('MATRIKS_TFN'!F7+'MATRIKS_TFN'!F21+'MATRIKS_TFN'!F35)/3</f>
      </c>
      <c r="G8" s="1">
        <f>('MATRIKS_TFN'!G7+'MATRIKS_TFN'!G21+'MATRIKS_TFN'!G35)/3</f>
      </c>
      <c r="H8" s="1">
        <f>('MATRIKS_TFN'!H7+'MATRIKS_TFN'!H21+'MATRIKS_TFN'!H35)/3</f>
      </c>
      <c r="I8" s="1">
        <f>('MATRIKS_TFN'!I7+'MATRIKS_TFN'!I21+'MATRIKS_TFN'!I35)/3</f>
      </c>
      <c r="J8" s="1">
        <f>('MATRIKS_TFN'!J7+'MATRIKS_TFN'!J21+'MATRIKS_TFN'!J35)/3</f>
      </c>
    </row>
    <row r="9">
      <c r="A9" t="str">
        <v>CP3</v>
      </c>
      <c r="B9" s="1">
        <f>('MATRIKS_TFN'!B8+'MATRIKS_TFN'!B22+'MATRIKS_TFN'!B36)/3</f>
      </c>
      <c r="C9" s="1">
        <f>('MATRIKS_TFN'!C8+'MATRIKS_TFN'!C22+'MATRIKS_TFN'!C36)/3</f>
      </c>
      <c r="D9">
        <v>1</v>
      </c>
      <c r="E9" s="1">
        <f>('MATRIKS_TFN'!E8+'MATRIKS_TFN'!E22+'MATRIKS_TFN'!E36)/3</f>
      </c>
      <c r="F9" s="1">
        <f>('MATRIKS_TFN'!F8+'MATRIKS_TFN'!F22+'MATRIKS_TFN'!F36)/3</f>
      </c>
      <c r="G9" s="1">
        <f>('MATRIKS_TFN'!G8+'MATRIKS_TFN'!G22+'MATRIKS_TFN'!G36)/3</f>
      </c>
      <c r="H9" s="1">
        <f>('MATRIKS_TFN'!H8+'MATRIKS_TFN'!H22+'MATRIKS_TFN'!H36)/3</f>
      </c>
      <c r="I9" s="1">
        <f>('MATRIKS_TFN'!I8+'MATRIKS_TFN'!I22+'MATRIKS_TFN'!I36)/3</f>
      </c>
      <c r="J9" s="1">
        <f>('MATRIKS_TFN'!J8+'MATRIKS_TFN'!J22+'MATRIKS_TFN'!J36)/3</f>
      </c>
    </row>
    <row r="10">
      <c r="A10" t="str">
        <v>CP4</v>
      </c>
      <c r="B10" s="1">
        <f>('MATRIKS_TFN'!B9+'MATRIKS_TFN'!B23+'MATRIKS_TFN'!B37)/3</f>
      </c>
      <c r="C10" s="1">
        <f>('MATRIKS_TFN'!C9+'MATRIKS_TFN'!C23+'MATRIKS_TFN'!C37)/3</f>
      </c>
      <c r="D10" s="1">
        <f>('MATRIKS_TFN'!D9+'MATRIKS_TFN'!D23+'MATRIKS_TFN'!D37)/3</f>
      </c>
      <c r="E10">
        <v>1</v>
      </c>
      <c r="F10" s="1">
        <f>('MATRIKS_TFN'!F9+'MATRIKS_TFN'!F23+'MATRIKS_TFN'!F37)/3</f>
      </c>
      <c r="G10" s="1">
        <f>('MATRIKS_TFN'!G9+'MATRIKS_TFN'!G23+'MATRIKS_TFN'!G37)/3</f>
      </c>
      <c r="H10" s="1">
        <f>('MATRIKS_TFN'!H9+'MATRIKS_TFN'!H23+'MATRIKS_TFN'!H37)/3</f>
      </c>
      <c r="I10" s="1">
        <f>('MATRIKS_TFN'!I9+'MATRIKS_TFN'!I23+'MATRIKS_TFN'!I37)/3</f>
      </c>
      <c r="J10" s="1">
        <f>('MATRIKS_TFN'!J9+'MATRIKS_TFN'!J23+'MATRIKS_TFN'!J37)/3</f>
      </c>
    </row>
    <row r="11">
      <c r="A11" t="str">
        <v>CP5</v>
      </c>
      <c r="B11" s="1">
        <f>('MATRIKS_TFN'!B10+'MATRIKS_TFN'!B24+'MATRIKS_TFN'!B38)/3</f>
      </c>
      <c r="C11" s="1">
        <f>('MATRIKS_TFN'!C10+'MATRIKS_TFN'!C24+'MATRIKS_TFN'!C38)/3</f>
      </c>
      <c r="D11" s="1">
        <f>('MATRIKS_TFN'!D10+'MATRIKS_TFN'!D24+'MATRIKS_TFN'!D38)/3</f>
      </c>
      <c r="E11" s="1">
        <f>('MATRIKS_TFN'!E10+'MATRIKS_TFN'!E24+'MATRIKS_TFN'!E38)/3</f>
      </c>
      <c r="F11">
        <v>1</v>
      </c>
      <c r="G11" s="1">
        <f>('MATRIKS_TFN'!G10+'MATRIKS_TFN'!G24+'MATRIKS_TFN'!G38)/3</f>
      </c>
      <c r="H11" s="1">
        <f>('MATRIKS_TFN'!H10+'MATRIKS_TFN'!H24+'MATRIKS_TFN'!H38)/3</f>
      </c>
      <c r="I11" s="1">
        <f>('MATRIKS_TFN'!I10+'MATRIKS_TFN'!I24+'MATRIKS_TFN'!I38)/3</f>
      </c>
      <c r="J11" s="1">
        <f>('MATRIKS_TFN'!J10+'MATRIKS_TFN'!J24+'MATRIKS_TFN'!J38)/3</f>
      </c>
    </row>
    <row r="12">
      <c r="A12" t="str">
        <v>CP6</v>
      </c>
      <c r="B12" s="1">
        <f>('MATRIKS_TFN'!B11+'MATRIKS_TFN'!B25+'MATRIKS_TFN'!B39)/3</f>
      </c>
      <c r="C12" s="1">
        <f>('MATRIKS_TFN'!C11+'MATRIKS_TFN'!C25+'MATRIKS_TFN'!C39)/3</f>
      </c>
      <c r="D12" s="1">
        <f>('MATRIKS_TFN'!D11+'MATRIKS_TFN'!D25+'MATRIKS_TFN'!D39)/3</f>
      </c>
      <c r="E12" s="1">
        <f>('MATRIKS_TFN'!E11+'MATRIKS_TFN'!E25+'MATRIKS_TFN'!E39)/3</f>
      </c>
      <c r="F12" s="1">
        <f>('MATRIKS_TFN'!F11+'MATRIKS_TFN'!F25+'MATRIKS_TFN'!F39)/3</f>
      </c>
      <c r="G12">
        <v>1</v>
      </c>
      <c r="H12" s="1">
        <f>('MATRIKS_TFN'!H11+'MATRIKS_TFN'!H25+'MATRIKS_TFN'!H39)/3</f>
      </c>
      <c r="I12" s="1">
        <f>('MATRIKS_TFN'!I11+'MATRIKS_TFN'!I25+'MATRIKS_TFN'!I39)/3</f>
      </c>
      <c r="J12" s="1">
        <f>('MATRIKS_TFN'!J11+'MATRIKS_TFN'!J25+'MATRIKS_TFN'!J39)/3</f>
      </c>
    </row>
    <row r="13">
      <c r="A13" t="str">
        <v>CP7</v>
      </c>
      <c r="B13" s="1">
        <f>('MATRIKS_TFN'!B12+'MATRIKS_TFN'!B26+'MATRIKS_TFN'!B40)/3</f>
      </c>
      <c r="C13" s="1">
        <f>('MATRIKS_TFN'!C12+'MATRIKS_TFN'!C26+'MATRIKS_TFN'!C40)/3</f>
      </c>
      <c r="D13" s="1">
        <f>('MATRIKS_TFN'!D12+'MATRIKS_TFN'!D26+'MATRIKS_TFN'!D40)/3</f>
      </c>
      <c r="E13" s="1">
        <f>('MATRIKS_TFN'!E12+'MATRIKS_TFN'!E26+'MATRIKS_TFN'!E40)/3</f>
      </c>
      <c r="F13" s="1">
        <f>('MATRIKS_TFN'!F12+'MATRIKS_TFN'!F26+'MATRIKS_TFN'!F40)/3</f>
      </c>
      <c r="G13" s="1">
        <f>('MATRIKS_TFN'!G12+'MATRIKS_TFN'!G26+'MATRIKS_TFN'!G40)/3</f>
      </c>
      <c r="H13">
        <v>1</v>
      </c>
      <c r="I13" s="1">
        <f>('MATRIKS_TFN'!I12+'MATRIKS_TFN'!I26+'MATRIKS_TFN'!I40)/3</f>
      </c>
      <c r="J13" s="1">
        <f>('MATRIKS_TFN'!J12+'MATRIKS_TFN'!J26+'MATRIKS_TFN'!J40)/3</f>
      </c>
    </row>
    <row r="14">
      <c r="A14" t="str">
        <v>CP8</v>
      </c>
      <c r="B14" s="1">
        <f>('MATRIKS_TFN'!B13+'MATRIKS_TFN'!B27+'MATRIKS_TFN'!B41)/3</f>
      </c>
      <c r="C14" s="1">
        <f>('MATRIKS_TFN'!C13+'MATRIKS_TFN'!C27+'MATRIKS_TFN'!C41)/3</f>
      </c>
      <c r="D14" s="1">
        <f>('MATRIKS_TFN'!D13+'MATRIKS_TFN'!D27+'MATRIKS_TFN'!D41)/3</f>
      </c>
      <c r="E14" s="1">
        <f>('MATRIKS_TFN'!E13+'MATRIKS_TFN'!E27+'MATRIKS_TFN'!E41)/3</f>
      </c>
      <c r="F14" s="1">
        <f>('MATRIKS_TFN'!F13+'MATRIKS_TFN'!F27+'MATRIKS_TFN'!F41)/3</f>
      </c>
      <c r="G14" s="1">
        <f>('MATRIKS_TFN'!G13+'MATRIKS_TFN'!G27+'MATRIKS_TFN'!G41)/3</f>
      </c>
      <c r="H14" s="1">
        <f>('MATRIKS_TFN'!H13+'MATRIKS_TFN'!H27+'MATRIKS_TFN'!H41)/3</f>
      </c>
      <c r="I14">
        <v>1</v>
      </c>
      <c r="J14" s="1">
        <f>('MATRIKS_TFN'!J13+'MATRIKS_TFN'!J27+'MATRIKS_TFN'!J41)/3</f>
      </c>
    </row>
    <row r="15">
      <c r="A15" t="str">
        <v>CP9</v>
      </c>
      <c r="B15" s="1">
        <f>('MATRIKS_TFN'!B14+'MATRIKS_TFN'!B28+'MATRIKS_TFN'!B42)/3</f>
      </c>
      <c r="C15" s="1">
        <f>('MATRIKS_TFN'!C14+'MATRIKS_TFN'!C28+'MATRIKS_TFN'!C42)/3</f>
      </c>
      <c r="D15" s="1">
        <f>('MATRIKS_TFN'!D14+'MATRIKS_TFN'!D28+'MATRIKS_TFN'!D42)/3</f>
      </c>
      <c r="E15" s="1">
        <f>('MATRIKS_TFN'!E14+'MATRIKS_TFN'!E28+'MATRIKS_TFN'!E42)/3</f>
      </c>
      <c r="F15" s="1">
        <f>('MATRIKS_TFN'!F14+'MATRIKS_TFN'!F28+'MATRIKS_TFN'!F42)/3</f>
      </c>
      <c r="G15" s="1">
        <f>('MATRIKS_TFN'!G14+'MATRIKS_TFN'!G28+'MATRIKS_TFN'!G42)/3</f>
      </c>
      <c r="H15" s="1">
        <f>('MATRIKS_TFN'!H14+'MATRIKS_TFN'!H28+'MATRIKS_TFN'!H42)/3</f>
      </c>
      <c r="I15" s="1">
        <f>('MATRIKS_TFN'!I14+'MATRIKS_TFN'!I28+'MATRIKS_TFN'!I42)/3</f>
      </c>
      <c r="J15">
        <v>1</v>
      </c>
    </row>
    <row r="17">
      <c r="A17" t="str">
        <v>Jumlah Kolom</v>
      </c>
      <c r="B17" s="1">
        <f>SUM(B7:B15)</f>
      </c>
      <c r="C17" s="1">
        <f>SUM(C7:C15)</f>
      </c>
      <c r="D17" s="1">
        <f>SUM(D7:D15)</f>
      </c>
      <c r="E17" s="1">
        <f>SUM(E7:E15)</f>
      </c>
      <c r="F17" s="1">
        <f>SUM(F7:F15)</f>
      </c>
      <c r="G17" s="1">
        <f>SUM(G7:G15)</f>
      </c>
      <c r="H17" s="1">
        <f>SUM(H7:H15)</f>
      </c>
      <c r="I17" s="1">
        <f>SUM(I7:I15)</f>
      </c>
      <c r="J17" s="1">
        <f>SUM(J7:J15)</f>
      </c>
    </row>
    <row r="20">
      <c r="A20" t="str">
        <v>LANGKAH 2: Normalisasi Kolom</v>
      </c>
    </row>
    <row r="21">
      <c r="A21" t="str">
        <v>N(i,j) = D(i,j) / Σ kolom_j</v>
      </c>
    </row>
    <row r="22">
      <c r="A22" t="str">
        <v/>
      </c>
      <c r="B22" t="str">
        <v>CP1</v>
      </c>
      <c r="C22" t="str">
        <v>CP2</v>
      </c>
      <c r="D22" t="str">
        <v>CP3</v>
      </c>
      <c r="E22" t="str">
        <v>CP4</v>
      </c>
      <c r="F22" t="str">
        <v>CP5</v>
      </c>
      <c r="G22" t="str">
        <v>CP6</v>
      </c>
      <c r="H22" t="str">
        <v>CP7</v>
      </c>
      <c r="I22" t="str">
        <v>CP8</v>
      </c>
      <c r="J22" t="str">
        <v>CP9</v>
      </c>
      <c r="K22" t="str">
        <v>Rata2 (Wi)</v>
      </c>
    </row>
    <row r="23">
      <c r="A23" t="str">
        <v>CP1</v>
      </c>
      <c r="B23" s="1">
        <f>B7/B17</f>
      </c>
      <c r="C23" s="1">
        <f>C7/C17</f>
      </c>
      <c r="D23" s="1">
        <f>D7/D17</f>
      </c>
      <c r="E23" s="1">
        <f>E7/E17</f>
      </c>
      <c r="F23" s="1">
        <f>F7/F17</f>
      </c>
      <c r="G23" s="1">
        <f>G7/G17</f>
      </c>
      <c r="H23" s="1">
        <f>H7/H17</f>
      </c>
      <c r="I23" s="1">
        <f>I7/I17</f>
      </c>
      <c r="J23" s="1">
        <f>J7/J17</f>
      </c>
      <c r="K23" s="2">
        <f>AVERAGE(B23:J23)</f>
      </c>
    </row>
    <row r="24">
      <c r="A24" t="str">
        <v>CP2</v>
      </c>
      <c r="B24" s="1">
        <f>B8/B17</f>
      </c>
      <c r="C24" s="1">
        <f>C8/C17</f>
      </c>
      <c r="D24" s="1">
        <f>D8/D17</f>
      </c>
      <c r="E24" s="1">
        <f>E8/E17</f>
      </c>
      <c r="F24" s="1">
        <f>F8/F17</f>
      </c>
      <c r="G24" s="1">
        <f>G8/G17</f>
      </c>
      <c r="H24" s="1">
        <f>H8/H17</f>
      </c>
      <c r="I24" s="1">
        <f>I8/I17</f>
      </c>
      <c r="J24" s="1">
        <f>J8/J17</f>
      </c>
      <c r="K24" s="2">
        <f>AVERAGE(B24:J24)</f>
      </c>
    </row>
    <row r="25">
      <c r="A25" t="str">
        <v>CP3</v>
      </c>
      <c r="B25" s="1">
        <f>B9/B17</f>
      </c>
      <c r="C25" s="1">
        <f>C9/C17</f>
      </c>
      <c r="D25" s="1">
        <f>D9/D17</f>
      </c>
      <c r="E25" s="1">
        <f>E9/E17</f>
      </c>
      <c r="F25" s="1">
        <f>F9/F17</f>
      </c>
      <c r="G25" s="1">
        <f>G9/G17</f>
      </c>
      <c r="H25" s="1">
        <f>H9/H17</f>
      </c>
      <c r="I25" s="1">
        <f>I9/I17</f>
      </c>
      <c r="J25" s="1">
        <f>J9/J17</f>
      </c>
      <c r="K25" s="2">
        <f>AVERAGE(B25:J25)</f>
      </c>
    </row>
    <row r="26">
      <c r="A26" t="str">
        <v>CP4</v>
      </c>
      <c r="B26" s="1">
        <f>B10/B17</f>
      </c>
      <c r="C26" s="1">
        <f>C10/C17</f>
      </c>
      <c r="D26" s="1">
        <f>D10/D17</f>
      </c>
      <c r="E26" s="1">
        <f>E10/E17</f>
      </c>
      <c r="F26" s="1">
        <f>F10/F17</f>
      </c>
      <c r="G26" s="1">
        <f>G10/G17</f>
      </c>
      <c r="H26" s="1">
        <f>H10/H17</f>
      </c>
      <c r="I26" s="1">
        <f>I10/I17</f>
      </c>
      <c r="J26" s="1">
        <f>J10/J17</f>
      </c>
      <c r="K26" s="2">
        <f>AVERAGE(B26:J26)</f>
      </c>
    </row>
    <row r="27">
      <c r="A27" t="str">
        <v>CP5</v>
      </c>
      <c r="B27" s="1">
        <f>B11/B17</f>
      </c>
      <c r="C27" s="1">
        <f>C11/C17</f>
      </c>
      <c r="D27" s="1">
        <f>D11/D17</f>
      </c>
      <c r="E27" s="1">
        <f>E11/E17</f>
      </c>
      <c r="F27" s="1">
        <f>F11/F17</f>
      </c>
      <c r="G27" s="1">
        <f>G11/G17</f>
      </c>
      <c r="H27" s="1">
        <f>H11/H17</f>
      </c>
      <c r="I27" s="1">
        <f>I11/I17</f>
      </c>
      <c r="J27" s="1">
        <f>J11/J17</f>
      </c>
      <c r="K27" s="2">
        <f>AVERAGE(B27:J27)</f>
      </c>
    </row>
    <row r="28">
      <c r="A28" t="str">
        <v>CP6</v>
      </c>
      <c r="B28" s="1">
        <f>B12/B17</f>
      </c>
      <c r="C28" s="1">
        <f>C12/C17</f>
      </c>
      <c r="D28" s="1">
        <f>D12/D17</f>
      </c>
      <c r="E28" s="1">
        <f>E12/E17</f>
      </c>
      <c r="F28" s="1">
        <f>F12/F17</f>
      </c>
      <c r="G28" s="1">
        <f>G12/G17</f>
      </c>
      <c r="H28" s="1">
        <f>H12/H17</f>
      </c>
      <c r="I28" s="1">
        <f>I12/I17</f>
      </c>
      <c r="J28" s="1">
        <f>J12/J17</f>
      </c>
      <c r="K28" s="2">
        <f>AVERAGE(B28:J28)</f>
      </c>
    </row>
    <row r="29">
      <c r="A29" t="str">
        <v>CP7</v>
      </c>
      <c r="B29" s="1">
        <f>B13/B17</f>
      </c>
      <c r="C29" s="1">
        <f>C13/C17</f>
      </c>
      <c r="D29" s="1">
        <f>D13/D17</f>
      </c>
      <c r="E29" s="1">
        <f>E13/E17</f>
      </c>
      <c r="F29" s="1">
        <f>F13/F17</f>
      </c>
      <c r="G29" s="1">
        <f>G13/G17</f>
      </c>
      <c r="H29" s="1">
        <f>H13/H17</f>
      </c>
      <c r="I29" s="1">
        <f>I13/I17</f>
      </c>
      <c r="J29" s="1">
        <f>J13/J17</f>
      </c>
      <c r="K29" s="2">
        <f>AVERAGE(B29:J29)</f>
      </c>
    </row>
    <row r="30">
      <c r="A30" t="str">
        <v>CP8</v>
      </c>
      <c r="B30" s="1">
        <f>B14/B17</f>
      </c>
      <c r="C30" s="1">
        <f>C14/C17</f>
      </c>
      <c r="D30" s="1">
        <f>D14/D17</f>
      </c>
      <c r="E30" s="1">
        <f>E14/E17</f>
      </c>
      <c r="F30" s="1">
        <f>F14/F17</f>
      </c>
      <c r="G30" s="1">
        <f>G14/G17</f>
      </c>
      <c r="H30" s="1">
        <f>H14/H17</f>
      </c>
      <c r="I30" s="1">
        <f>I14/I17</f>
      </c>
      <c r="J30" s="1">
        <f>J14/J17</f>
      </c>
      <c r="K30" s="2">
        <f>AVERAGE(B30:J30)</f>
      </c>
    </row>
    <row r="31">
      <c r="A31" t="str">
        <v>CP9</v>
      </c>
      <c r="B31" s="1">
        <f>B15/B17</f>
      </c>
      <c r="C31" s="1">
        <f>C15/C17</f>
      </c>
      <c r="D31" s="1">
        <f>D15/D17</f>
      </c>
      <c r="E31" s="1">
        <f>E15/E17</f>
      </c>
      <c r="F31" s="1">
        <f>F15/F17</f>
      </c>
      <c r="G31" s="1">
        <f>G15/G17</f>
      </c>
      <c r="H31" s="1">
        <f>H15/H17</f>
      </c>
      <c r="I31" s="1">
        <f>I15/I17</f>
      </c>
      <c r="J31" s="1">
        <f>J15/J17</f>
      </c>
      <c r="K31" s="2">
        <f>AVERAGE(B31:J31)</f>
      </c>
    </row>
    <row r="33">
      <c r="J33" t="str">
        <v>Total Wi</v>
      </c>
      <c r="K33" s="2">
        <f>SUM(K23:K31)</f>
      </c>
    </row>
    <row r="36">
      <c r="A36" t="str">
        <v>LANGKAH 3: Aw = Matriks_Crisp × Vektor_Bobot</v>
      </c>
    </row>
    <row r="37">
      <c r="A37" t="str">
        <v>Aw_i = Σ(D(i,j) × Wj)</v>
      </c>
    </row>
    <row r="38">
      <c r="A38" t="str">
        <v>Kriteria</v>
      </c>
      <c r="B38" t="str">
        <v>Wi (Bobot)</v>
      </c>
      <c r="C38" t="str">
        <v>Aw</v>
      </c>
      <c r="D38" t="str">
        <v>Aw / Wi</v>
      </c>
    </row>
    <row r="39">
      <c r="A39" t="str">
        <v>CP1</v>
      </c>
      <c r="B39" s="2">
        <f>K23</f>
      </c>
      <c r="C39" s="2">
        <f>SUMPRODUCT(B7:J7,$B39:$B47)</f>
      </c>
      <c r="D39" s="1">
        <f>C39/B39</f>
      </c>
    </row>
    <row r="40">
      <c r="A40" t="str">
        <v>CP2</v>
      </c>
      <c r="B40" s="2">
        <f>K24</f>
      </c>
      <c r="C40" s="2">
        <f>SUMPRODUCT(B8:J8,$B39:$B47)</f>
      </c>
      <c r="D40" s="1">
        <f>C40/B40</f>
      </c>
    </row>
    <row r="41">
      <c r="A41" t="str">
        <v>CP3</v>
      </c>
      <c r="B41" s="2">
        <f>K25</f>
      </c>
      <c r="C41" s="2">
        <f>SUMPRODUCT(B9:J9,$B39:$B47)</f>
      </c>
      <c r="D41" s="1">
        <f>C41/B41</f>
      </c>
    </row>
    <row r="42">
      <c r="A42" t="str">
        <v>CP4</v>
      </c>
      <c r="B42" s="2">
        <f>K26</f>
      </c>
      <c r="C42" s="2">
        <f>SUMPRODUCT(B10:J10,$B39:$B47)</f>
      </c>
      <c r="D42" s="1">
        <f>C42/B42</f>
      </c>
    </row>
    <row r="43">
      <c r="A43" t="str">
        <v>CP5</v>
      </c>
      <c r="B43" s="2">
        <f>K27</f>
      </c>
      <c r="C43" s="2">
        <f>SUMPRODUCT(B11:J11,$B39:$B47)</f>
      </c>
      <c r="D43" s="1">
        <f>C43/B43</f>
      </c>
    </row>
    <row r="44">
      <c r="A44" t="str">
        <v>CP6</v>
      </c>
      <c r="B44" s="2">
        <f>K28</f>
      </c>
      <c r="C44" s="2">
        <f>SUMPRODUCT(B12:J12,$B39:$B47)</f>
      </c>
      <c r="D44" s="1">
        <f>C44/B44</f>
      </c>
    </row>
    <row r="45">
      <c r="A45" t="str">
        <v>CP7</v>
      </c>
      <c r="B45" s="2">
        <f>K29</f>
      </c>
      <c r="C45" s="2">
        <f>SUMPRODUCT(B13:J13,$B39:$B47)</f>
      </c>
      <c r="D45" s="1">
        <f>C45/B45</f>
      </c>
    </row>
    <row r="46">
      <c r="A46" t="str">
        <v>CP8</v>
      </c>
      <c r="B46" s="2">
        <f>K30</f>
      </c>
      <c r="C46" s="2">
        <f>SUMPRODUCT(B14:J14,$B39:$B47)</f>
      </c>
      <c r="D46" s="1">
        <f>C46/B46</f>
      </c>
    </row>
    <row r="47">
      <c r="A47" t="str">
        <v>CP9</v>
      </c>
      <c r="B47" s="2">
        <f>K31</f>
      </c>
      <c r="C47" s="2">
        <f>SUMPRODUCT(B15:J15,$B39:$B47)</f>
      </c>
      <c r="D47" s="1">
        <f>C47/B47</f>
      </c>
    </row>
    <row r="50">
      <c r="A50" t="str">
        <v>LANGKAH 4: λmax, CI, CR</v>
      </c>
    </row>
    <row r="51">
      <c r="A51" t="str">
        <v>n (jumlah kriteria)</v>
      </c>
      <c r="B51">
        <v>9</v>
      </c>
    </row>
    <row r="52">
      <c r="A52" t="str">
        <v>λmax = AVERAGE(Aw/Wi)</v>
      </c>
      <c r="B52" s="1">
        <f>AVERAGE(D39:D47)</f>
      </c>
    </row>
    <row r="53">
      <c r="A53" t="str">
        <v>CI = (λmax - n) / (n - 1)</v>
      </c>
      <c r="B53" s="1">
        <f>(B52-B51)/(B51-1)</f>
      </c>
    </row>
    <row r="54">
      <c r="A54" t="str">
        <v>RI (n=9)</v>
      </c>
      <c r="B54">
        <v>1.45</v>
      </c>
    </row>
    <row r="55">
      <c r="A55" t="str">
        <v>CR = CI / RI</v>
      </c>
      <c r="B55" s="1">
        <f>IF(B54=0,0,B53/B54)</f>
      </c>
    </row>
    <row r="57">
      <c r="A57" t="str">
        <v>KESIMPULAN</v>
      </c>
      <c r="B57">
        <f>IF(B55&lt;0.1,"KONSISTEN ✓ (CR &lt; 0.10)","TIDAK KONSISTEN ✗ (CR ≥ 0.10)")</f>
      </c>
    </row>
    <row r="60">
      <c r="A60" t="str">
        <v>PERBANDINGAN: Bobot Normalisasi CR vs Bobot FSE</v>
      </c>
    </row>
    <row r="61">
      <c r="A61" t="str">
        <v>Kriteria</v>
      </c>
      <c r="B61" t="str">
        <v>Bobot (Norm CR)</v>
      </c>
      <c r="C61" t="str">
        <v>Bobot (FSE)</v>
      </c>
      <c r="D61" t="str">
        <v>Selisih</v>
      </c>
    </row>
    <row r="62">
      <c r="A62" t="str">
        <v>CP1</v>
      </c>
      <c r="B62" s="2">
        <f>K23</f>
      </c>
      <c r="C62" s="2">
        <f>'FSE_BOBOT'!F22</f>
      </c>
      <c r="D62" s="2">
        <f>ABS(B62-C62)</f>
      </c>
    </row>
    <row r="63">
      <c r="A63" t="str">
        <v>CP2</v>
      </c>
      <c r="B63" s="2">
        <f>K24</f>
      </c>
      <c r="C63" s="2">
        <f>'FSE_BOBOT'!F23</f>
      </c>
      <c r="D63" s="2">
        <f>ABS(B63-C63)</f>
      </c>
    </row>
    <row r="64">
      <c r="A64" t="str">
        <v>CP3</v>
      </c>
      <c r="B64" s="2">
        <f>K25</f>
      </c>
      <c r="C64" s="2">
        <f>'FSE_BOBOT'!F24</f>
      </c>
      <c r="D64" s="2">
        <f>ABS(B64-C64)</f>
      </c>
    </row>
    <row r="65">
      <c r="A65" t="str">
        <v>CP4</v>
      </c>
      <c r="B65" s="2">
        <f>K26</f>
      </c>
      <c r="C65" s="2">
        <f>'FSE_BOBOT'!F25</f>
      </c>
      <c r="D65" s="2">
        <f>ABS(B65-C65)</f>
      </c>
    </row>
    <row r="66">
      <c r="A66" t="str">
        <v>CP5</v>
      </c>
      <c r="B66" s="2">
        <f>K27</f>
      </c>
      <c r="C66" s="2">
        <f>'FSE_BOBOT'!F26</f>
      </c>
      <c r="D66" s="2">
        <f>ABS(B66-C66)</f>
      </c>
    </row>
    <row r="67">
      <c r="A67" t="str">
        <v>CP6</v>
      </c>
      <c r="B67" s="2">
        <f>K28</f>
      </c>
      <c r="C67" s="2">
        <f>'FSE_BOBOT'!F27</f>
      </c>
      <c r="D67" s="2">
        <f>ABS(B67-C67)</f>
      </c>
    </row>
    <row r="68">
      <c r="A68" t="str">
        <v>CP7</v>
      </c>
      <c r="B68" s="2">
        <f>K29</f>
      </c>
      <c r="C68" s="2">
        <f>'FSE_BOBOT'!F28</f>
      </c>
      <c r="D68" s="2">
        <f>ABS(B68-C68)</f>
      </c>
    </row>
    <row r="69">
      <c r="A69" t="str">
        <v>CP8</v>
      </c>
      <c r="B69" s="2">
        <f>K30</f>
      </c>
      <c r="C69" s="2">
        <f>'FSE_BOBOT'!F29</f>
      </c>
      <c r="D69" s="2">
        <f>ABS(B69-C69)</f>
      </c>
    </row>
    <row r="70">
      <c r="A70" t="str">
        <v>CP9</v>
      </c>
      <c r="B70" s="2">
        <f>K31</f>
      </c>
      <c r="C70" s="2">
        <f>'FSE_BOBOT'!F30</f>
      </c>
      <c r="D70" s="2">
        <f>ABS(B70-C70)</f>
      </c>
    </row>
    <row r="73">
      <c r="A73" t="str">
        <v>Catatan:</v>
      </c>
    </row>
    <row r="74">
      <c r="A74" t="str">
        <v>• Bobot "Norm CR" dihitung dari matriks crisp (defuzzified) dengan normalisasi kolom</v>
      </c>
    </row>
    <row r="75">
      <c r="A75" t="str">
        <v>• Bobot "FSE" dihitung dari Fuzzy Synthetic Extent → defuzzifikasi CoA → normalisasi</v>
      </c>
    </row>
    <row r="76">
      <c r="A76" t="str">
        <v>• Sistem menggunakan bobot FSE sebagai bobot final</v>
      </c>
    </row>
    <row r="77">
      <c r="A77" t="str">
        <v>• RI untuk n=9 adalah 1.45 (Saaty, 1990)</v>
      </c>
    </row>
    <row r="78">
      <c r="A78" t="str">
        <v>• CR &lt; 0.10 → konsisten; CR ≥ 0.10 → revisi diperlukan</v>
      </c>
    </row>
  </sheetData>
  <ignoredErrors>
    <ignoredError numberStoredAsText="1" sqref="A1:L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14.83203125" customWidth="1"/>
    <col min="2" max="2" width="30.83203125" customWidth="1"/>
    <col min="3" max="3" width="16.83203125" customWidth="1"/>
    <col min="4" max="4" width="20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REKAP PERBANDINGAN: MANUAL vs SISTEM</v>
      </c>
    </row>
    <row r="2">
      <c r="A2" t="str">
        <v>Membandingkan hasil perhitungan manual Excel dengan data yang tersimpan di database sistem</v>
      </c>
    </row>
    <row r="4">
      <c r="A4" t="str">
        <v>DATA SISTEM (Database): Matriks TFN LEVEL1_CP</v>
      </c>
    </row>
    <row r="5">
      <c r="A5" t="str">
        <v>Total entri di DB: 81</v>
      </c>
    </row>
    <row r="6">
      <c r="A6" t="str">
        <v>Matriks TFN Mid (dari DB)</v>
      </c>
    </row>
    <row r="7">
      <c r="A7" t="str">
        <v/>
      </c>
      <c r="B7" t="str">
        <v>CP1</v>
      </c>
      <c r="C7" t="str">
        <v>CP2</v>
      </c>
      <c r="D7" t="str">
        <v>CP3</v>
      </c>
      <c r="E7" t="str">
        <v>CP4</v>
      </c>
      <c r="F7" t="str">
        <v>CP5</v>
      </c>
      <c r="G7" t="str">
        <v>CP6</v>
      </c>
      <c r="H7" t="str">
        <v>CP7</v>
      </c>
      <c r="I7" t="str">
        <v>CP8</v>
      </c>
    </row>
    <row r="8">
      <c r="A8" t="str">
        <v>CP1</v>
      </c>
      <c r="B8" s="1">
        <v>1</v>
      </c>
      <c r="C8" s="1">
        <v>1</v>
      </c>
      <c r="D8" s="1">
        <v>1</v>
      </c>
      <c r="E8" s="1">
        <v>0.3333</v>
      </c>
      <c r="F8" s="1">
        <v>0.3333</v>
      </c>
      <c r="G8" s="1">
        <v>0.2</v>
      </c>
      <c r="H8" s="1">
        <v>1</v>
      </c>
      <c r="I8" s="1">
        <v>0.3333</v>
      </c>
    </row>
    <row r="9">
      <c r="A9" t="str">
        <v>CP2</v>
      </c>
      <c r="B9" s="1">
        <v>1</v>
      </c>
      <c r="C9" s="1">
        <v>1</v>
      </c>
      <c r="D9" s="1">
        <v>1</v>
      </c>
      <c r="E9" s="1">
        <v>0.3333</v>
      </c>
      <c r="F9" s="1">
        <v>0.3333</v>
      </c>
      <c r="G9" s="1">
        <v>0.2</v>
      </c>
      <c r="H9" s="1">
        <v>1</v>
      </c>
      <c r="I9" s="1">
        <v>1</v>
      </c>
    </row>
    <row r="10">
      <c r="A10" t="str">
        <v>CP3</v>
      </c>
      <c r="B10" s="1">
        <v>1</v>
      </c>
      <c r="C10" s="1">
        <v>1</v>
      </c>
      <c r="D10" s="1">
        <v>1</v>
      </c>
      <c r="E10" s="1">
        <v>0.3333</v>
      </c>
      <c r="F10" s="1">
        <v>0.3333</v>
      </c>
      <c r="G10" s="1">
        <v>0.2</v>
      </c>
      <c r="H10" s="1">
        <v>1</v>
      </c>
      <c r="I10" s="1">
        <v>0.6934</v>
      </c>
    </row>
    <row r="11">
      <c r="A11" t="str">
        <v>CP4</v>
      </c>
      <c r="B11" s="1">
        <v>3</v>
      </c>
      <c r="C11" s="1">
        <v>3</v>
      </c>
      <c r="D11" s="1">
        <v>3</v>
      </c>
      <c r="E11" s="1">
        <v>1</v>
      </c>
      <c r="F11" s="1">
        <v>1</v>
      </c>
      <c r="G11" s="1">
        <v>0.3333</v>
      </c>
      <c r="H11" s="1">
        <v>3</v>
      </c>
      <c r="I11" s="1">
        <v>3</v>
      </c>
    </row>
    <row r="12">
      <c r="A12" t="str">
        <v>CP5</v>
      </c>
      <c r="B12" s="1">
        <v>3</v>
      </c>
      <c r="C12" s="1">
        <v>3</v>
      </c>
      <c r="D12" s="1">
        <v>3</v>
      </c>
      <c r="E12" s="1">
        <v>1</v>
      </c>
      <c r="F12" s="1">
        <v>1</v>
      </c>
      <c r="G12" s="1">
        <v>0.3333</v>
      </c>
      <c r="H12" s="1">
        <v>3</v>
      </c>
      <c r="I12" s="1">
        <v>3</v>
      </c>
    </row>
    <row r="13">
      <c r="A13" t="str">
        <v>CP6</v>
      </c>
      <c r="B13" s="1">
        <v>5</v>
      </c>
      <c r="C13" s="1">
        <v>5</v>
      </c>
      <c r="D13" s="1">
        <v>5</v>
      </c>
      <c r="E13" s="1">
        <v>3</v>
      </c>
      <c r="F13" s="1">
        <v>3</v>
      </c>
      <c r="G13" s="1">
        <v>1</v>
      </c>
      <c r="H13" s="1">
        <v>5</v>
      </c>
      <c r="I13" s="1">
        <v>3</v>
      </c>
    </row>
    <row r="14">
      <c r="A14" t="str">
        <v>CP7</v>
      </c>
      <c r="B14" s="1">
        <v>1</v>
      </c>
      <c r="C14" s="1">
        <v>1</v>
      </c>
      <c r="D14" s="1">
        <v>1</v>
      </c>
      <c r="E14" s="1">
        <v>0.3333</v>
      </c>
      <c r="F14" s="1">
        <v>0.3333</v>
      </c>
      <c r="G14" s="1">
        <v>0.2</v>
      </c>
      <c r="H14" s="1">
        <v>1</v>
      </c>
      <c r="I14" s="1">
        <v>1</v>
      </c>
    </row>
    <row r="15">
      <c r="A15" t="str">
        <v>CP8</v>
      </c>
      <c r="B15" s="1">
        <v>3</v>
      </c>
      <c r="C15" s="1">
        <v>1</v>
      </c>
      <c r="D15" s="1">
        <v>1.4422</v>
      </c>
      <c r="E15" s="1">
        <v>0.3333</v>
      </c>
      <c r="F15" s="1">
        <v>0.3333</v>
      </c>
      <c r="G15" s="1">
        <v>0.3333</v>
      </c>
      <c r="H15" s="1">
        <v>1</v>
      </c>
      <c r="I15" s="1">
        <v>1</v>
      </c>
    </row>
    <row r="16">
      <c r="A16" t="str">
        <v>CP9</v>
      </c>
      <c r="B16" s="1">
        <v>3</v>
      </c>
      <c r="C16" s="1">
        <v>1</v>
      </c>
      <c r="D16" s="1">
        <v>3</v>
      </c>
      <c r="E16" s="1">
        <v>0.3333</v>
      </c>
      <c r="F16" s="1">
        <v>0.3333</v>
      </c>
      <c r="G16" s="1">
        <v>0.3333</v>
      </c>
      <c r="H16" s="1">
        <v>1</v>
      </c>
      <c r="I16" s="1">
        <v>1</v>
      </c>
    </row>
    <row r="19">
      <c r="A19" t="str">
        <v>BOBOT DARI SISTEM (CriticalPoint.globalWeight)</v>
      </c>
    </row>
    <row r="20">
      <c r="A20" t="str">
        <v>Kriteria</v>
      </c>
      <c r="B20" t="str">
        <v>Nama</v>
      </c>
      <c r="C20" t="str">
        <v>Bobot Sistem</v>
      </c>
      <c r="D20" t="str">
        <v>Bobot Manual (FSE)</v>
      </c>
      <c r="E20" t="str">
        <v>Selisih</v>
      </c>
      <c r="F20" t="str">
        <v>Match?</v>
      </c>
    </row>
    <row r="21">
      <c r="A21" t="str">
        <v>CP1</v>
      </c>
      <c r="B21" t="str">
        <v>Farm/Kandang Sapi</v>
      </c>
      <c r="C21" s="2">
        <v>0.048891</v>
      </c>
      <c r="D21" s="2">
        <f>'FSE_BOBOT'!F22</f>
      </c>
      <c r="E21" s="2">
        <f>ABS(C21-D21)</f>
      </c>
      <c r="F21">
        <f>IF(E21&lt;0.001,"✓ MATCH","✗ BERBEDA")</f>
      </c>
    </row>
    <row r="22">
      <c r="A22" t="str">
        <v>CP2</v>
      </c>
      <c r="B22" t="str">
        <v>Pakan &amp; Kesehatan Hewan</v>
      </c>
      <c r="C22" s="2">
        <v>0.053983</v>
      </c>
      <c r="D22" s="2">
        <f>'FSE_BOBOT'!F23</f>
      </c>
      <c r="E22" s="2">
        <f>ABS(C22-D22)</f>
      </c>
      <c r="F22">
        <f>IF(E22&lt;0.001,"✓ MATCH","✗ BERBEDA")</f>
      </c>
    </row>
    <row r="23">
      <c r="A23" t="str">
        <v>CP3</v>
      </c>
      <c r="B23" t="str">
        <v>Transportasi Hewan ke RPH</v>
      </c>
      <c r="C23" s="2">
        <v>0.050199</v>
      </c>
      <c r="D23" s="2">
        <f>'FSE_BOBOT'!F24</f>
      </c>
      <c r="E23" s="2">
        <f>ABS(C23-D23)</f>
      </c>
      <c r="F23">
        <f>IF(E23&lt;0.001,"✓ MATCH","✗ BERBEDA")</f>
      </c>
    </row>
    <row r="24">
      <c r="A24" t="str">
        <v>CP4</v>
      </c>
      <c r="B24" t="str">
        <v>RPH/Penyembelihan</v>
      </c>
      <c r="C24" s="2">
        <v>0.174175</v>
      </c>
      <c r="D24" s="2">
        <f>'FSE_BOBOT'!F25</f>
      </c>
      <c r="E24" s="2">
        <f>ABS(C24-D24)</f>
      </c>
      <c r="F24">
        <f>IF(E24&lt;0.001,"✓ MATCH","✗ BERBEDA")</f>
      </c>
    </row>
    <row r="25">
      <c r="A25" t="str">
        <v>CP5</v>
      </c>
      <c r="B25" t="str">
        <v>Post-Slaughter Handling</v>
      </c>
      <c r="C25" s="2">
        <v>0.174175</v>
      </c>
      <c r="D25" s="2">
        <f>'FSE_BOBOT'!F26</f>
      </c>
      <c r="E25" s="2">
        <f>ABS(C25-D25)</f>
      </c>
      <c r="F25">
        <f>IF(E25&lt;0.001,"✓ MATCH","✗ BERBEDA")</f>
      </c>
    </row>
    <row r="26">
      <c r="A26" t="str">
        <v>CP6</v>
      </c>
      <c r="B26" t="str">
        <v>Processing/Pengolahan</v>
      </c>
      <c r="C26" s="2">
        <v>0.271405</v>
      </c>
      <c r="D26" s="2">
        <f>'FSE_BOBOT'!F27</f>
      </c>
      <c r="E26" s="2">
        <f>ABS(C26-D26)</f>
      </c>
      <c r="F26">
        <f>IF(E26&lt;0.001,"✓ MATCH","✗ BERBEDA")</f>
      </c>
    </row>
    <row r="27">
      <c r="A27" t="str">
        <v>CP7</v>
      </c>
      <c r="B27" t="str">
        <v>Cold Storage/Warehouse</v>
      </c>
      <c r="C27" s="2">
        <v>0.053983</v>
      </c>
      <c r="D27" s="2">
        <f>'FSE_BOBOT'!F28</f>
      </c>
      <c r="E27" s="2">
        <f>ABS(C27-D27)</f>
      </c>
      <c r="F27">
        <f>IF(E27&lt;0.001,"✓ MATCH","✗ BERBEDA")</f>
      </c>
    </row>
    <row r="28">
      <c r="A28" t="str">
        <v>CP8</v>
      </c>
      <c r="B28" t="str">
        <v>Distribusi/Logistik</v>
      </c>
      <c r="C28" s="2">
        <v>0.078988</v>
      </c>
      <c r="D28" s="2">
        <f>'FSE_BOBOT'!F29</f>
      </c>
      <c r="E28" s="2">
        <f>ABS(C28-D28)</f>
      </c>
      <c r="F28">
        <f>IF(E28&lt;0.001,"✓ MATCH","✗ BERBEDA")</f>
      </c>
    </row>
    <row r="29">
      <c r="A29" t="str">
        <v>CP9</v>
      </c>
      <c r="B29" t="str">
        <v>Retail/Pasar/Supermarket</v>
      </c>
      <c r="C29" s="2">
        <v>0.094201</v>
      </c>
      <c r="D29" s="2">
        <f>'FSE_BOBOT'!F30</f>
      </c>
      <c r="E29" s="2">
        <f>ABS(C29-D29)</f>
      </c>
      <c r="F29">
        <f>IF(E29&lt;0.001,"✓ MATCH","✗ BERBEDA")</f>
      </c>
    </row>
    <row r="32">
      <c r="A32" t="str">
        <v>CR DARI SISTEM (dihitung dari DB):</v>
      </c>
    </row>
    <row r="33">
      <c r="A33" t="str">
        <v>λmax</v>
      </c>
      <c r="B33" s="1">
        <v>10.3251</v>
      </c>
    </row>
    <row r="34">
      <c r="A34" t="str">
        <v>CI</v>
      </c>
      <c r="B34" s="1">
        <v>0.1656</v>
      </c>
    </row>
    <row r="35">
      <c r="A35" t="str">
        <v>CR</v>
      </c>
      <c r="B35" s="1">
        <v>0.1142</v>
      </c>
      <c r="C35" t="str">
        <v>TIDAK KONSISTEN ✗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DATA_RESPONDEN</vt:lpstr>
      <vt:lpstr>GEOMETRIC_MEAN</vt:lpstr>
      <vt:lpstr>MATRIKS_TFN</vt:lpstr>
      <vt:lpstr>FSE_BOBOT</vt:lpstr>
      <vt:lpstr>KONSISTENSI_CR</vt:lpstr>
      <vt:lpstr>REKAP_SISTEM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