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INPUT_SLIDER" sheetId="2" r:id="rId2"/>
    <sheet name="GEOMETRIC_MEAN" sheetId="3" r:id="rId3"/>
    <sheet name="MATRIKS_TFN" sheetId="4" r:id="rId4"/>
    <sheet name="FSE_BOBOT" sheetId="5" r:id="rId5"/>
    <sheet name="KONSISTENSI_C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cols>
    <col min="1" max="1" width="70.83203125" customWidth="1"/>
  </col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>PANDUAN PENGGUNAAN EXCEL PERHITUNGAN MANUAL K1V1</v>
      </c>
    </row>
    <row r="3">
      <c r="A3" t="str">
        <v>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File ini berisi perhitungan Fuzzy AHP (Analytic Hierarchy Process)</v>
      </c>
    </row>
    <row r="6">
      <c r="A6" t="str">
        <v>untuk Kuesioner 1 Versi 1 (K1V1) — Pembobotan Antar Critical Point.</v>
      </c>
    </row>
    <row r="7">
      <c r="A7" t="str">
        <v/>
      </c>
    </row>
    <row r="8">
      <c r="A8" t="str">
        <v>══ ALUR PERHITUNGAN ══</v>
      </c>
    </row>
    <row r="9">
      <c r="A9" t="str">
        <v/>
      </c>
    </row>
    <row r="10">
      <c r="A10" t="str">
        <v>1. INPUT_SLIDER: Input nilai slider (-8 s/d 8) per responden</v>
      </c>
    </row>
    <row r="11">
      <c r="A11" t="str">
        <v xml:space="preserve">   → Slider di-convert ke Saaty Scale (1..9)</v>
      </c>
    </row>
    <row r="12">
      <c r="A12" t="str">
        <v xml:space="preserve">   → Saaty Scale di-convert ke TFN (Triangular Fuzzy Number)</v>
      </c>
    </row>
    <row r="13">
      <c r="A13" t="str">
        <v xml:space="preserve">   → Jika slider &gt; 0 (kanan lebih penting): TFN dibalik (reciprocal)</v>
      </c>
    </row>
    <row r="14">
      <c r="A14" t="str">
        <v/>
      </c>
    </row>
    <row r="15">
      <c r="A15" t="str">
        <v>2. GEOMETRIC_MEAN: Agregasi TFN dari semua responden</v>
      </c>
    </row>
    <row r="16">
      <c r="A16" t="str">
        <v xml:space="preserve">   → Geometric Mean: GM = (∏xi)^(1/n)</v>
      </c>
    </row>
    <row r="17">
      <c r="A17" t="str">
        <v xml:space="preserve">   → Setiap komponen l, m, u diagregasi terpisah</v>
      </c>
    </row>
    <row r="18">
      <c r="A18" t="str">
        <v/>
      </c>
    </row>
    <row r="19">
      <c r="A19" t="str">
        <v>3. MATRIKS_TFN: Matriks perbandingan berpasangan 9×9 TFN</v>
      </c>
    </row>
    <row r="20">
      <c r="A20" t="str">
        <v xml:space="preserve">   → Diagonal = (1,1,1)</v>
      </c>
    </row>
    <row r="21">
      <c r="A21" t="str">
        <v xml:space="preserve">   → Upper triangle dari hasil GM</v>
      </c>
    </row>
    <row r="22">
      <c r="A22" t="str">
        <v xml:space="preserve">   → Lower triangle = reciprocal: (1/u, 1/m, 1/l)</v>
      </c>
    </row>
    <row r="23">
      <c r="A23" t="str">
        <v/>
      </c>
    </row>
    <row r="24">
      <c r="A24" t="str">
        <v>4. FSE_BOBOT: Fuzzy Synthetic Extent + Defuzzifikasi + Normalisasi</v>
      </c>
    </row>
    <row r="25">
      <c r="A25" t="str">
        <v xml:space="preserve">   → Si_l = Σl_baris / ΣΣu_total</v>
      </c>
    </row>
    <row r="26">
      <c r="A26" t="str">
        <v xml:space="preserve">   → Si_m = Σm_baris / ΣΣm_total</v>
      </c>
    </row>
    <row r="27">
      <c r="A27" t="str">
        <v xml:space="preserve">   → Si_u = Σu_baris / ΣΣl_total</v>
      </c>
    </row>
    <row r="28">
      <c r="A28" t="str">
        <v xml:space="preserve">   → Defuzzify: D = (Si_l + Si_m + Si_u) / 3</v>
      </c>
    </row>
    <row r="29">
      <c r="A29" t="str">
        <v xml:space="preserve">   → Normalisasi: Wi = Di / ΣDi</v>
      </c>
    </row>
    <row r="30">
      <c r="A30" t="str">
        <v/>
      </c>
    </row>
    <row r="31">
      <c r="A31" t="str">
        <v>5. KONSISTENSI_CR: Consistency Ratio</v>
      </c>
    </row>
    <row r="32">
      <c r="A32" t="str">
        <v xml:space="preserve">   → Defuzzify matriks TFN → Matriks Crisp</v>
      </c>
    </row>
    <row r="33">
      <c r="A33" t="str">
        <v xml:space="preserve">   → Normalisasi kolom → Bobot (rata-rata baris)</v>
      </c>
    </row>
    <row r="34">
      <c r="A34" t="str">
        <v xml:space="preserve">   → Aw = Matriks Crisp × Bobot</v>
      </c>
    </row>
    <row r="35">
      <c r="A35" t="str">
        <v xml:space="preserve">   → λmax = rata-rata (Aw/Wi)</v>
      </c>
    </row>
    <row r="36">
      <c r="A36" t="str">
        <v xml:space="preserve">   → CI = (λmax - n) / (n - 1)</v>
      </c>
    </row>
    <row r="37">
      <c r="A37" t="str">
        <v xml:space="preserve">   → CR = CI / RI</v>
      </c>
    </row>
    <row r="38">
      <c r="A38" t="str">
        <v xml:space="preserve">   → Konsisten jika CR &lt; 0.10</v>
      </c>
    </row>
    <row r="39">
      <c r="A39" t="str">
        <v/>
      </c>
    </row>
    <row r="40">
      <c r="A40" t="str">
        <v>══ CARA MENGGUNAKAN ══</v>
      </c>
    </row>
    <row r="41">
      <c r="A41" t="str">
        <v/>
      </c>
    </row>
    <row r="42">
      <c r="A42" t="str">
        <v>1. Buka sheet INPUT_SLIDER</v>
      </c>
    </row>
    <row r="43">
      <c r="A43" t="str">
        <v>2. Ubah nilai kolom "Slider (-8..8)" untuk setiap responden:</v>
      </c>
    </row>
    <row r="44">
      <c r="A44" t="str">
        <v xml:space="preserve">   → Negatif (-1 s/d -8): Kriteria KIRI lebih penting</v>
      </c>
    </row>
    <row r="45">
      <c r="A45" t="str">
        <v xml:space="preserve">   → 0: Sama penting</v>
      </c>
    </row>
    <row r="46">
      <c r="A46" t="str">
        <v xml:space="preserve">   → Positif (1 s/d 8): Kriteria KANAN lebih penting</v>
      </c>
    </row>
    <row r="47">
      <c r="A47" t="str">
        <v xml:space="preserve">   → Semakin besar |nilai|, semakin kuat preferensi</v>
      </c>
    </row>
    <row r="48">
      <c r="A48" t="str">
        <v/>
      </c>
    </row>
    <row r="49">
      <c r="A49" t="str">
        <v>3. Semua sheet lain OTOMATIS update via rumus Excel</v>
      </c>
    </row>
    <row r="50">
      <c r="A50" t="str">
        <v>4. Cek hasil di sheet FSE_BOBOT (bobot final)</v>
      </c>
    </row>
    <row r="51">
      <c r="A51" t="str">
        <v>5. Cek konsistensi di sheet KONSISTENSI_CR</v>
      </c>
    </row>
    <row r="52">
      <c r="A52" t="str">
        <v/>
      </c>
    </row>
    <row r="53">
      <c r="A53" t="str">
        <v>══ MAPPING SLIDER → FUZZY SCALE ══</v>
      </c>
    </row>
    <row r="54">
      <c r="A54" t="str">
        <v/>
      </c>
    </row>
    <row r="55">
      <c r="A55" t="str">
        <v xml:space="preserve">  |slider| → absVal → Fuzzy Scale → TFN</v>
      </c>
    </row>
    <row r="56">
      <c r="A56" t="str">
        <v xml:space="preserve">  0        → 1      → EQUAL       → (1, 1, 1)</v>
      </c>
    </row>
    <row r="57">
      <c r="A57" t="str">
        <v xml:space="preserve">  1, 2     → 2, 3   → MODERATE    → (1, 3, 5)</v>
      </c>
    </row>
    <row r="58">
      <c r="A58" t="str">
        <v xml:space="preserve">  3, 4     → 4, 5   → STRONG      → (3, 5, 7)</v>
      </c>
    </row>
    <row r="59">
      <c r="A59" t="str">
        <v xml:space="preserve">  5, 6     → 6, 7   → VERY_STRONG → (5, 7, 9)</v>
      </c>
    </row>
    <row r="60">
      <c r="A60" t="str">
        <v xml:space="preserve">  7, 8     → 8, 9   → EXTREME     → (7, 9, 9)</v>
      </c>
    </row>
    <row r="61">
      <c r="A61" t="str">
        <v/>
      </c>
    </row>
    <row r="62">
      <c r="A62" t="str">
        <v xml:space="preserve">  Jika slider &gt; 0 (kanan lebih penting):</v>
      </c>
    </row>
    <row r="63">
      <c r="A63" t="str">
        <v xml:space="preserve">  TFN dibalik → (1/u, 1/m, 1/l)</v>
      </c>
    </row>
    <row r="64">
      <c r="A64" t="str">
        <v/>
      </c>
    </row>
    <row r="65">
      <c r="A65" t="str">
        <v>══ TABEL RANDOM INDEX (RI) — SAATY ══</v>
      </c>
    </row>
    <row r="66">
      <c r="A66" t="str">
        <v/>
      </c>
    </row>
    <row r="67">
      <c r="A67" t="str">
        <v xml:space="preserve">  n:  1    2    3     4     5     6     7     8     9     10</v>
      </c>
    </row>
    <row r="68">
      <c r="A68" t="str">
        <v xml:space="preserve">  RI: 0    0    0.58  0.90  1.12  1.24  1.32  1.41  1.45  1.49</v>
      </c>
    </row>
    <row r="69">
      <c r="A69" t="str">
        <v/>
      </c>
    </row>
    <row r="70">
      <c r="A70" t="str">
        <v>══ KONFIGURASI ══</v>
      </c>
    </row>
    <row r="71">
      <c r="A71" t="str">
        <v/>
      </c>
    </row>
    <row r="72">
      <c r="A72" t="str">
        <v xml:space="preserve">  • Jumlah CP: 9 (CP1-CP9)</v>
      </c>
    </row>
    <row r="73">
      <c r="A73" t="str">
        <v xml:space="preserve">  • Jumlah pasangan: 36</v>
      </c>
    </row>
    <row r="74">
      <c r="A74" t="str">
        <v xml:space="preserve">  • Jumlah responden default: 3</v>
      </c>
    </row>
    <row r="75">
      <c r="A75" t="str">
        <v/>
      </c>
    </row>
    <row r="76">
      <c r="A76" t="str">
        <v>══ CATATAN PENTING ══</v>
      </c>
    </row>
    <row r="77">
      <c r="A77" t="str">
        <v/>
      </c>
    </row>
    <row r="78">
      <c r="A78" t="str">
        <v xml:space="preserve">  • JANGAN ubah sel yang berisi rumus (formula)</v>
      </c>
    </row>
    <row r="79">
      <c r="A79" t="str">
        <v xml:space="preserve">  • HANYA ubah kolom "Slider (-8..8)" di sheet INPUT_SLIDER</v>
      </c>
    </row>
    <row r="80">
      <c r="A80" t="str">
        <v xml:space="preserve">  • Jika ingin menambah responden, perlu generate ulang file ini</v>
      </c>
    </row>
    <row r="81">
      <c r="A81" t="str">
        <v xml:space="preserve">    dengan mengubah variabel NUM_RESPONDENTS di script</v>
      </c>
    </row>
    <row r="82">
      <c r="A82" t="str">
        <v/>
      </c>
    </row>
    <row r="83">
      <c r="A83" t="str">
        <v>Dibuat dengan: generate-k1v1-manual-excel.ts</v>
      </c>
    </row>
    <row r="84">
      <c r="A84" t="str">
        <v>Tanggal: 2026-06-10</v>
      </c>
    </row>
  </sheetData>
  <ignoredErrors>
    <ignoredError numberStoredAsText="1" sqref="A1:B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cols>
    <col min="1" max="1" width="5.83203125" customWidth="1"/>
    <col min="2" max="2" width="10.83203125" customWidth="1"/>
    <col min="3" max="3" width="10.83203125" customWidth="1"/>
    <col min="4" max="4" width="14.83203125" customWidth="1"/>
    <col min="5" max="5" width="8.83203125" customWidth="1"/>
    <col min="6" max="6" width="8.83203125" customWidth="1"/>
    <col min="7" max="7" width="2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SHEET INPUT SLIDER — Kuesioner 1 V1 (K1V1)</v>
      </c>
    </row>
    <row r="2">
      <c r="A2" t="str">
        <v>Isi nilai slider (-8 s/d 8) untuk setiap perbandingan berpasangan</v>
      </c>
    </row>
    <row r="3">
      <c r="A3" t="str">
        <v>Negatif = Kriteria KIRI lebih penting | 0 = Sama penting | Positif = Kriteria KANAN lebih penting</v>
      </c>
    </row>
    <row r="4">
      <c r="A4" t="str">
        <v>Contoh: -3 artinya Kiri (absVal=4 → Saaty 4) lebih penting</v>
      </c>
    </row>
    <row r="6">
      <c r="A6" t="str">
        <v>TABEL REFERENSI KONVERSI</v>
      </c>
    </row>
    <row r="7">
      <c r="A7" t="str">
        <v>|Slider|</v>
      </c>
      <c r="B7" t="str">
        <v>absVal</v>
      </c>
      <c r="C7" t="str">
        <v>Saaty</v>
      </c>
      <c r="D7" t="str">
        <v>Fuzzy Scale</v>
      </c>
      <c r="E7" t="str">
        <v>l</v>
      </c>
      <c r="F7" t="str">
        <v>m</v>
      </c>
      <c r="G7" t="str">
        <v>u</v>
      </c>
    </row>
    <row r="8">
      <c r="A8">
        <v>0</v>
      </c>
      <c r="B8">
        <v>1</v>
      </c>
      <c r="C8">
        <v>1</v>
      </c>
      <c r="D8" t="str">
        <v>EQUAL</v>
      </c>
      <c r="E8">
        <v>1</v>
      </c>
      <c r="F8">
        <v>1</v>
      </c>
      <c r="G8">
        <v>1</v>
      </c>
    </row>
    <row r="9">
      <c r="A9">
        <v>1</v>
      </c>
      <c r="B9">
        <v>2</v>
      </c>
      <c r="C9">
        <v>2</v>
      </c>
      <c r="D9" t="str">
        <v>MODERATE</v>
      </c>
      <c r="E9">
        <v>1</v>
      </c>
      <c r="F9">
        <v>3</v>
      </c>
      <c r="G9">
        <v>5</v>
      </c>
    </row>
    <row r="10">
      <c r="A10">
        <v>2</v>
      </c>
      <c r="B10">
        <v>3</v>
      </c>
      <c r="C10">
        <v>3</v>
      </c>
      <c r="D10" t="str">
        <v>MODERATE</v>
      </c>
      <c r="E10">
        <v>1</v>
      </c>
      <c r="F10">
        <v>3</v>
      </c>
      <c r="G10">
        <v>5</v>
      </c>
    </row>
    <row r="11">
      <c r="A11">
        <v>3</v>
      </c>
      <c r="B11">
        <v>4</v>
      </c>
      <c r="C11">
        <v>4</v>
      </c>
      <c r="D11" t="str">
        <v>STRONG</v>
      </c>
      <c r="E11">
        <v>3</v>
      </c>
      <c r="F11">
        <v>5</v>
      </c>
      <c r="G11">
        <v>7</v>
      </c>
    </row>
    <row r="12">
      <c r="A12">
        <v>4</v>
      </c>
      <c r="B12">
        <v>5</v>
      </c>
      <c r="C12">
        <v>5</v>
      </c>
      <c r="D12" t="str">
        <v>STRONG</v>
      </c>
      <c r="E12">
        <v>3</v>
      </c>
      <c r="F12">
        <v>5</v>
      </c>
      <c r="G12">
        <v>7</v>
      </c>
    </row>
    <row r="13">
      <c r="A13">
        <v>5</v>
      </c>
      <c r="B13">
        <v>6</v>
      </c>
      <c r="C13">
        <v>6</v>
      </c>
      <c r="D13" t="str">
        <v>VERY_STRONG</v>
      </c>
      <c r="E13">
        <v>5</v>
      </c>
      <c r="F13">
        <v>7</v>
      </c>
      <c r="G13">
        <v>9</v>
      </c>
    </row>
    <row r="14">
      <c r="A14">
        <v>6</v>
      </c>
      <c r="B14">
        <v>7</v>
      </c>
      <c r="C14">
        <v>7</v>
      </c>
      <c r="D14" t="str">
        <v>VERY_STRONG</v>
      </c>
      <c r="E14">
        <v>5</v>
      </c>
      <c r="F14">
        <v>7</v>
      </c>
      <c r="G14">
        <v>9</v>
      </c>
    </row>
    <row r="15">
      <c r="A15">
        <v>7</v>
      </c>
      <c r="B15">
        <v>8</v>
      </c>
      <c r="C15">
        <v>8</v>
      </c>
      <c r="D15" t="str">
        <v>EXTREME</v>
      </c>
      <c r="E15">
        <v>7</v>
      </c>
      <c r="F15">
        <v>9</v>
      </c>
      <c r="G15">
        <v>9</v>
      </c>
    </row>
    <row r="16">
      <c r="A16">
        <v>8</v>
      </c>
      <c r="B16">
        <v>9</v>
      </c>
      <c r="C16">
        <v>9</v>
      </c>
      <c r="D16" t="str">
        <v>EXTREME</v>
      </c>
      <c r="E16">
        <v>7</v>
      </c>
      <c r="F16">
        <v>9</v>
      </c>
      <c r="G16">
        <v>9</v>
      </c>
    </row>
    <row r="19">
      <c r="A19" t="str">
        <v>═══ RESPONDEN 1 ═══</v>
      </c>
    </row>
    <row r="20">
      <c r="A20" t="str">
        <v>No</v>
      </c>
      <c r="B20" t="str">
        <v>Kriteria A</v>
      </c>
      <c r="C20" t="str">
        <v>Kriteria B</v>
      </c>
      <c r="D20" t="str">
        <v>Slider (-8..8)</v>
      </c>
      <c r="E20" t="str">
        <v>absVal</v>
      </c>
      <c r="F20" t="str">
        <v>Saaty</v>
      </c>
      <c r="G20" t="str">
        <v>Arah</v>
      </c>
      <c r="H20" t="str">
        <v>l (original)</v>
      </c>
      <c r="I20" t="str">
        <v>m (original)</v>
      </c>
      <c r="J20" t="str">
        <v>u (original)</v>
      </c>
      <c r="K20" t="str">
        <v>TFN l (final)</v>
      </c>
      <c r="L20" t="str">
        <v>TFN m (final)</v>
      </c>
      <c r="M20" t="str">
        <v>TFN u (final)</v>
      </c>
    </row>
    <row r="21">
      <c r="A21">
        <v>1</v>
      </c>
      <c r="B21" t="str">
        <v>CP1</v>
      </c>
      <c r="C21" t="str">
        <v>CP2</v>
      </c>
      <c r="D21">
        <v>0</v>
      </c>
      <c r="E21">
        <f>ABS(D21)+1</f>
      </c>
      <c r="F21">
        <f>E21</f>
      </c>
      <c r="G21">
        <f>IF(D21&lt;0,"← "&amp;B21,IF(D21&gt;0,"→ "&amp;C21,"= Sama Penting"))</f>
      </c>
      <c r="H21">
        <f>IF(E21=1,1,IF(E21&lt;=3,1,IF(E21&lt;=5,3,IF(E21&lt;=7,5,7))))</f>
      </c>
      <c r="I21">
        <f>IF(E21=1,1,IF(E21&lt;=3,3,IF(E21&lt;=5,5,IF(E21&lt;=7,7,9))))</f>
      </c>
      <c r="J21">
        <f>IF(E21=1,1,IF(E21&lt;=3,5,IF(E21&lt;=5,7,IF(E21&lt;=7,9,9))))</f>
      </c>
      <c r="K21">
        <f>IF(D21&gt;0,1/J21,H21)</f>
      </c>
      <c r="L21">
        <f>IF(D21&gt;0,1/I21,I21)</f>
      </c>
      <c r="M21">
        <f>IF(D21&gt;0,1/H21,J21)</f>
      </c>
    </row>
    <row r="22">
      <c r="A22">
        <v>2</v>
      </c>
      <c r="B22" t="str">
        <v>CP1</v>
      </c>
      <c r="C22" t="str">
        <v>CP3</v>
      </c>
      <c r="D22">
        <v>0</v>
      </c>
      <c r="E22">
        <f>ABS(D22)+1</f>
      </c>
      <c r="F22">
        <f>E22</f>
      </c>
      <c r="G22">
        <f>IF(D22&lt;0,"← "&amp;B22,IF(D22&gt;0,"→ "&amp;C22,"= Sama Penting"))</f>
      </c>
      <c r="H22">
        <f>IF(E22=1,1,IF(E22&lt;=3,1,IF(E22&lt;=5,3,IF(E22&lt;=7,5,7))))</f>
      </c>
      <c r="I22">
        <f>IF(E22=1,1,IF(E22&lt;=3,3,IF(E22&lt;=5,5,IF(E22&lt;=7,7,9))))</f>
      </c>
      <c r="J22">
        <f>IF(E22=1,1,IF(E22&lt;=3,5,IF(E22&lt;=5,7,IF(E22&lt;=7,9,9))))</f>
      </c>
      <c r="K22">
        <f>IF(D22&gt;0,1/J22,H22)</f>
      </c>
      <c r="L22">
        <f>IF(D22&gt;0,1/I22,I22)</f>
      </c>
      <c r="M22">
        <f>IF(D22&gt;0,1/H22,J22)</f>
      </c>
    </row>
    <row r="23">
      <c r="A23">
        <v>3</v>
      </c>
      <c r="B23" t="str">
        <v>CP1</v>
      </c>
      <c r="C23" t="str">
        <v>CP4</v>
      </c>
      <c r="D23">
        <v>0</v>
      </c>
      <c r="E23">
        <f>ABS(D23)+1</f>
      </c>
      <c r="F23">
        <f>E23</f>
      </c>
      <c r="G23">
        <f>IF(D23&lt;0,"← "&amp;B23,IF(D23&gt;0,"→ "&amp;C23,"= Sama Penting"))</f>
      </c>
      <c r="H23">
        <f>IF(E23=1,1,IF(E23&lt;=3,1,IF(E23&lt;=5,3,IF(E23&lt;=7,5,7))))</f>
      </c>
      <c r="I23">
        <f>IF(E23=1,1,IF(E23&lt;=3,3,IF(E23&lt;=5,5,IF(E23&lt;=7,7,9))))</f>
      </c>
      <c r="J23">
        <f>IF(E23=1,1,IF(E23&lt;=3,5,IF(E23&lt;=5,7,IF(E23&lt;=7,9,9))))</f>
      </c>
      <c r="K23">
        <f>IF(D23&gt;0,1/J23,H23)</f>
      </c>
      <c r="L23">
        <f>IF(D23&gt;0,1/I23,I23)</f>
      </c>
      <c r="M23">
        <f>IF(D23&gt;0,1/H23,J23)</f>
      </c>
    </row>
    <row r="24">
      <c r="A24">
        <v>4</v>
      </c>
      <c r="B24" t="str">
        <v>CP1</v>
      </c>
      <c r="C24" t="str">
        <v>CP5</v>
      </c>
      <c r="D24">
        <v>0</v>
      </c>
      <c r="E24">
        <f>ABS(D24)+1</f>
      </c>
      <c r="F24">
        <f>E24</f>
      </c>
      <c r="G24">
        <f>IF(D24&lt;0,"← "&amp;B24,IF(D24&gt;0,"→ "&amp;C24,"= Sama Penting"))</f>
      </c>
      <c r="H24">
        <f>IF(E24=1,1,IF(E24&lt;=3,1,IF(E24&lt;=5,3,IF(E24&lt;=7,5,7))))</f>
      </c>
      <c r="I24">
        <f>IF(E24=1,1,IF(E24&lt;=3,3,IF(E24&lt;=5,5,IF(E24&lt;=7,7,9))))</f>
      </c>
      <c r="J24">
        <f>IF(E24=1,1,IF(E24&lt;=3,5,IF(E24&lt;=5,7,IF(E24&lt;=7,9,9))))</f>
      </c>
      <c r="K24">
        <f>IF(D24&gt;0,1/J24,H24)</f>
      </c>
      <c r="L24">
        <f>IF(D24&gt;0,1/I24,I24)</f>
      </c>
      <c r="M24">
        <f>IF(D24&gt;0,1/H24,J24)</f>
      </c>
    </row>
    <row r="25">
      <c r="A25">
        <v>5</v>
      </c>
      <c r="B25" t="str">
        <v>CP1</v>
      </c>
      <c r="C25" t="str">
        <v>CP6</v>
      </c>
      <c r="D25">
        <v>0</v>
      </c>
      <c r="E25">
        <f>ABS(D25)+1</f>
      </c>
      <c r="F25">
        <f>E25</f>
      </c>
      <c r="G25">
        <f>IF(D25&lt;0,"← "&amp;B25,IF(D25&gt;0,"→ "&amp;C25,"= Sama Penting"))</f>
      </c>
      <c r="H25">
        <f>IF(E25=1,1,IF(E25&lt;=3,1,IF(E25&lt;=5,3,IF(E25&lt;=7,5,7))))</f>
      </c>
      <c r="I25">
        <f>IF(E25=1,1,IF(E25&lt;=3,3,IF(E25&lt;=5,5,IF(E25&lt;=7,7,9))))</f>
      </c>
      <c r="J25">
        <f>IF(E25=1,1,IF(E25&lt;=3,5,IF(E25&lt;=5,7,IF(E25&lt;=7,9,9))))</f>
      </c>
      <c r="K25">
        <f>IF(D25&gt;0,1/J25,H25)</f>
      </c>
      <c r="L25">
        <f>IF(D25&gt;0,1/I25,I25)</f>
      </c>
      <c r="M25">
        <f>IF(D25&gt;0,1/H25,J25)</f>
      </c>
    </row>
    <row r="26">
      <c r="A26">
        <v>6</v>
      </c>
      <c r="B26" t="str">
        <v>CP1</v>
      </c>
      <c r="C26" t="str">
        <v>CP7</v>
      </c>
      <c r="D26">
        <v>0</v>
      </c>
      <c r="E26">
        <f>ABS(D26)+1</f>
      </c>
      <c r="F26">
        <f>E26</f>
      </c>
      <c r="G26">
        <f>IF(D26&lt;0,"← "&amp;B26,IF(D26&gt;0,"→ "&amp;C26,"= Sama Penting"))</f>
      </c>
      <c r="H26">
        <f>IF(E26=1,1,IF(E26&lt;=3,1,IF(E26&lt;=5,3,IF(E26&lt;=7,5,7))))</f>
      </c>
      <c r="I26">
        <f>IF(E26=1,1,IF(E26&lt;=3,3,IF(E26&lt;=5,5,IF(E26&lt;=7,7,9))))</f>
      </c>
      <c r="J26">
        <f>IF(E26=1,1,IF(E26&lt;=3,5,IF(E26&lt;=5,7,IF(E26&lt;=7,9,9))))</f>
      </c>
      <c r="K26">
        <f>IF(D26&gt;0,1/J26,H26)</f>
      </c>
      <c r="L26">
        <f>IF(D26&gt;0,1/I26,I26)</f>
      </c>
      <c r="M26">
        <f>IF(D26&gt;0,1/H26,J26)</f>
      </c>
    </row>
    <row r="27">
      <c r="A27">
        <v>7</v>
      </c>
      <c r="B27" t="str">
        <v>CP1</v>
      </c>
      <c r="C27" t="str">
        <v>CP8</v>
      </c>
      <c r="D27">
        <v>0</v>
      </c>
      <c r="E27">
        <f>ABS(D27)+1</f>
      </c>
      <c r="F27">
        <f>E27</f>
      </c>
      <c r="G27">
        <f>IF(D27&lt;0,"← "&amp;B27,IF(D27&gt;0,"→ "&amp;C27,"= Sama Penting"))</f>
      </c>
      <c r="H27">
        <f>IF(E27=1,1,IF(E27&lt;=3,1,IF(E27&lt;=5,3,IF(E27&lt;=7,5,7))))</f>
      </c>
      <c r="I27">
        <f>IF(E27=1,1,IF(E27&lt;=3,3,IF(E27&lt;=5,5,IF(E27&lt;=7,7,9))))</f>
      </c>
      <c r="J27">
        <f>IF(E27=1,1,IF(E27&lt;=3,5,IF(E27&lt;=5,7,IF(E27&lt;=7,9,9))))</f>
      </c>
      <c r="K27">
        <f>IF(D27&gt;0,1/J27,H27)</f>
      </c>
      <c r="L27">
        <f>IF(D27&gt;0,1/I27,I27)</f>
      </c>
      <c r="M27">
        <f>IF(D27&gt;0,1/H27,J27)</f>
      </c>
    </row>
    <row r="28">
      <c r="A28">
        <v>8</v>
      </c>
      <c r="B28" t="str">
        <v>CP1</v>
      </c>
      <c r="C28" t="str">
        <v>CP9</v>
      </c>
      <c r="D28">
        <v>0</v>
      </c>
      <c r="E28">
        <f>ABS(D28)+1</f>
      </c>
      <c r="F28">
        <f>E28</f>
      </c>
      <c r="G28">
        <f>IF(D28&lt;0,"← "&amp;B28,IF(D28&gt;0,"→ "&amp;C28,"= Sama Penting"))</f>
      </c>
      <c r="H28">
        <f>IF(E28=1,1,IF(E28&lt;=3,1,IF(E28&lt;=5,3,IF(E28&lt;=7,5,7))))</f>
      </c>
      <c r="I28">
        <f>IF(E28=1,1,IF(E28&lt;=3,3,IF(E28&lt;=5,5,IF(E28&lt;=7,7,9))))</f>
      </c>
      <c r="J28">
        <f>IF(E28=1,1,IF(E28&lt;=3,5,IF(E28&lt;=5,7,IF(E28&lt;=7,9,9))))</f>
      </c>
      <c r="K28">
        <f>IF(D28&gt;0,1/J28,H28)</f>
      </c>
      <c r="L28">
        <f>IF(D28&gt;0,1/I28,I28)</f>
      </c>
      <c r="M28">
        <f>IF(D28&gt;0,1/H28,J28)</f>
      </c>
    </row>
    <row r="29">
      <c r="A29">
        <v>9</v>
      </c>
      <c r="B29" t="str">
        <v>CP2</v>
      </c>
      <c r="C29" t="str">
        <v>CP3</v>
      </c>
      <c r="D29">
        <v>0</v>
      </c>
      <c r="E29">
        <f>ABS(D29)+1</f>
      </c>
      <c r="F29">
        <f>E29</f>
      </c>
      <c r="G29">
        <f>IF(D29&lt;0,"← "&amp;B29,IF(D29&gt;0,"→ "&amp;C29,"= Sama Penting"))</f>
      </c>
      <c r="H29">
        <f>IF(E29=1,1,IF(E29&lt;=3,1,IF(E29&lt;=5,3,IF(E29&lt;=7,5,7))))</f>
      </c>
      <c r="I29">
        <f>IF(E29=1,1,IF(E29&lt;=3,3,IF(E29&lt;=5,5,IF(E29&lt;=7,7,9))))</f>
      </c>
      <c r="J29">
        <f>IF(E29=1,1,IF(E29&lt;=3,5,IF(E29&lt;=5,7,IF(E29&lt;=7,9,9))))</f>
      </c>
      <c r="K29">
        <f>IF(D29&gt;0,1/J29,H29)</f>
      </c>
      <c r="L29">
        <f>IF(D29&gt;0,1/I29,I29)</f>
      </c>
      <c r="M29">
        <f>IF(D29&gt;0,1/H29,J29)</f>
      </c>
    </row>
    <row r="30">
      <c r="A30">
        <v>10</v>
      </c>
      <c r="B30" t="str">
        <v>CP2</v>
      </c>
      <c r="C30" t="str">
        <v>CP4</v>
      </c>
      <c r="D30">
        <v>0</v>
      </c>
      <c r="E30">
        <f>ABS(D30)+1</f>
      </c>
      <c r="F30">
        <f>E30</f>
      </c>
      <c r="G30">
        <f>IF(D30&lt;0,"← "&amp;B30,IF(D30&gt;0,"→ "&amp;C30,"= Sama Penting"))</f>
      </c>
      <c r="H30">
        <f>IF(E30=1,1,IF(E30&lt;=3,1,IF(E30&lt;=5,3,IF(E30&lt;=7,5,7))))</f>
      </c>
      <c r="I30">
        <f>IF(E30=1,1,IF(E30&lt;=3,3,IF(E30&lt;=5,5,IF(E30&lt;=7,7,9))))</f>
      </c>
      <c r="J30">
        <f>IF(E30=1,1,IF(E30&lt;=3,5,IF(E30&lt;=5,7,IF(E30&lt;=7,9,9))))</f>
      </c>
      <c r="K30">
        <f>IF(D30&gt;0,1/J30,H30)</f>
      </c>
      <c r="L30">
        <f>IF(D30&gt;0,1/I30,I30)</f>
      </c>
      <c r="M30">
        <f>IF(D30&gt;0,1/H30,J30)</f>
      </c>
    </row>
    <row r="31">
      <c r="A31">
        <v>11</v>
      </c>
      <c r="B31" t="str">
        <v>CP2</v>
      </c>
      <c r="C31" t="str">
        <v>CP5</v>
      </c>
      <c r="D31">
        <v>0</v>
      </c>
      <c r="E31">
        <f>ABS(D31)+1</f>
      </c>
      <c r="F31">
        <f>E31</f>
      </c>
      <c r="G31">
        <f>IF(D31&lt;0,"← "&amp;B31,IF(D31&gt;0,"→ "&amp;C31,"= Sama Penting"))</f>
      </c>
      <c r="H31">
        <f>IF(E31=1,1,IF(E31&lt;=3,1,IF(E31&lt;=5,3,IF(E31&lt;=7,5,7))))</f>
      </c>
      <c r="I31">
        <f>IF(E31=1,1,IF(E31&lt;=3,3,IF(E31&lt;=5,5,IF(E31&lt;=7,7,9))))</f>
      </c>
      <c r="J31">
        <f>IF(E31=1,1,IF(E31&lt;=3,5,IF(E31&lt;=5,7,IF(E31&lt;=7,9,9))))</f>
      </c>
      <c r="K31">
        <f>IF(D31&gt;0,1/J31,H31)</f>
      </c>
      <c r="L31">
        <f>IF(D31&gt;0,1/I31,I31)</f>
      </c>
      <c r="M31">
        <f>IF(D31&gt;0,1/H31,J31)</f>
      </c>
    </row>
    <row r="32">
      <c r="A32">
        <v>12</v>
      </c>
      <c r="B32" t="str">
        <v>CP2</v>
      </c>
      <c r="C32" t="str">
        <v>CP6</v>
      </c>
      <c r="D32">
        <v>0</v>
      </c>
      <c r="E32">
        <f>ABS(D32)+1</f>
      </c>
      <c r="F32">
        <f>E32</f>
      </c>
      <c r="G32">
        <f>IF(D32&lt;0,"← "&amp;B32,IF(D32&gt;0,"→ "&amp;C32,"= Sama Penting"))</f>
      </c>
      <c r="H32">
        <f>IF(E32=1,1,IF(E32&lt;=3,1,IF(E32&lt;=5,3,IF(E32&lt;=7,5,7))))</f>
      </c>
      <c r="I32">
        <f>IF(E32=1,1,IF(E32&lt;=3,3,IF(E32&lt;=5,5,IF(E32&lt;=7,7,9))))</f>
      </c>
      <c r="J32">
        <f>IF(E32=1,1,IF(E32&lt;=3,5,IF(E32&lt;=5,7,IF(E32&lt;=7,9,9))))</f>
      </c>
      <c r="K32">
        <f>IF(D32&gt;0,1/J32,H32)</f>
      </c>
      <c r="L32">
        <f>IF(D32&gt;0,1/I32,I32)</f>
      </c>
      <c r="M32">
        <f>IF(D32&gt;0,1/H32,J32)</f>
      </c>
    </row>
    <row r="33">
      <c r="A33">
        <v>13</v>
      </c>
      <c r="B33" t="str">
        <v>CP2</v>
      </c>
      <c r="C33" t="str">
        <v>CP7</v>
      </c>
      <c r="D33">
        <v>0</v>
      </c>
      <c r="E33">
        <f>ABS(D33)+1</f>
      </c>
      <c r="F33">
        <f>E33</f>
      </c>
      <c r="G33">
        <f>IF(D33&lt;0,"← "&amp;B33,IF(D33&gt;0,"→ "&amp;C33,"= Sama Penting"))</f>
      </c>
      <c r="H33">
        <f>IF(E33=1,1,IF(E33&lt;=3,1,IF(E33&lt;=5,3,IF(E33&lt;=7,5,7))))</f>
      </c>
      <c r="I33">
        <f>IF(E33=1,1,IF(E33&lt;=3,3,IF(E33&lt;=5,5,IF(E33&lt;=7,7,9))))</f>
      </c>
      <c r="J33">
        <f>IF(E33=1,1,IF(E33&lt;=3,5,IF(E33&lt;=5,7,IF(E33&lt;=7,9,9))))</f>
      </c>
      <c r="K33">
        <f>IF(D33&gt;0,1/J33,H33)</f>
      </c>
      <c r="L33">
        <f>IF(D33&gt;0,1/I33,I33)</f>
      </c>
      <c r="M33">
        <f>IF(D33&gt;0,1/H33,J33)</f>
      </c>
    </row>
    <row r="34">
      <c r="A34">
        <v>14</v>
      </c>
      <c r="B34" t="str">
        <v>CP2</v>
      </c>
      <c r="C34" t="str">
        <v>CP8</v>
      </c>
      <c r="D34">
        <v>0</v>
      </c>
      <c r="E34">
        <f>ABS(D34)+1</f>
      </c>
      <c r="F34">
        <f>E34</f>
      </c>
      <c r="G34">
        <f>IF(D34&lt;0,"← "&amp;B34,IF(D34&gt;0,"→ "&amp;C34,"= Sama Penting"))</f>
      </c>
      <c r="H34">
        <f>IF(E34=1,1,IF(E34&lt;=3,1,IF(E34&lt;=5,3,IF(E34&lt;=7,5,7))))</f>
      </c>
      <c r="I34">
        <f>IF(E34=1,1,IF(E34&lt;=3,3,IF(E34&lt;=5,5,IF(E34&lt;=7,7,9))))</f>
      </c>
      <c r="J34">
        <f>IF(E34=1,1,IF(E34&lt;=3,5,IF(E34&lt;=5,7,IF(E34&lt;=7,9,9))))</f>
      </c>
      <c r="K34">
        <f>IF(D34&gt;0,1/J34,H34)</f>
      </c>
      <c r="L34">
        <f>IF(D34&gt;0,1/I34,I34)</f>
      </c>
      <c r="M34">
        <f>IF(D34&gt;0,1/H34,J34)</f>
      </c>
    </row>
    <row r="35">
      <c r="A35">
        <v>15</v>
      </c>
      <c r="B35" t="str">
        <v>CP2</v>
      </c>
      <c r="C35" t="str">
        <v>CP9</v>
      </c>
      <c r="D35">
        <v>0</v>
      </c>
      <c r="E35">
        <f>ABS(D35)+1</f>
      </c>
      <c r="F35">
        <f>E35</f>
      </c>
      <c r="G35">
        <f>IF(D35&lt;0,"← "&amp;B35,IF(D35&gt;0,"→ "&amp;C35,"= Sama Penting"))</f>
      </c>
      <c r="H35">
        <f>IF(E35=1,1,IF(E35&lt;=3,1,IF(E35&lt;=5,3,IF(E35&lt;=7,5,7))))</f>
      </c>
      <c r="I35">
        <f>IF(E35=1,1,IF(E35&lt;=3,3,IF(E35&lt;=5,5,IF(E35&lt;=7,7,9))))</f>
      </c>
      <c r="J35">
        <f>IF(E35=1,1,IF(E35&lt;=3,5,IF(E35&lt;=5,7,IF(E35&lt;=7,9,9))))</f>
      </c>
      <c r="K35">
        <f>IF(D35&gt;0,1/J35,H35)</f>
      </c>
      <c r="L35">
        <f>IF(D35&gt;0,1/I35,I35)</f>
      </c>
      <c r="M35">
        <f>IF(D35&gt;0,1/H35,J35)</f>
      </c>
    </row>
    <row r="36">
      <c r="A36">
        <v>16</v>
      </c>
      <c r="B36" t="str">
        <v>CP3</v>
      </c>
      <c r="C36" t="str">
        <v>CP4</v>
      </c>
      <c r="D36">
        <v>0</v>
      </c>
      <c r="E36">
        <f>ABS(D36)+1</f>
      </c>
      <c r="F36">
        <f>E36</f>
      </c>
      <c r="G36">
        <f>IF(D36&lt;0,"← "&amp;B36,IF(D36&gt;0,"→ "&amp;C36,"= Sama Penting"))</f>
      </c>
      <c r="H36">
        <f>IF(E36=1,1,IF(E36&lt;=3,1,IF(E36&lt;=5,3,IF(E36&lt;=7,5,7))))</f>
      </c>
      <c r="I36">
        <f>IF(E36=1,1,IF(E36&lt;=3,3,IF(E36&lt;=5,5,IF(E36&lt;=7,7,9))))</f>
      </c>
      <c r="J36">
        <f>IF(E36=1,1,IF(E36&lt;=3,5,IF(E36&lt;=5,7,IF(E36&lt;=7,9,9))))</f>
      </c>
      <c r="K36">
        <f>IF(D36&gt;0,1/J36,H36)</f>
      </c>
      <c r="L36">
        <f>IF(D36&gt;0,1/I36,I36)</f>
      </c>
      <c r="M36">
        <f>IF(D36&gt;0,1/H36,J36)</f>
      </c>
    </row>
    <row r="37">
      <c r="A37">
        <v>17</v>
      </c>
      <c r="B37" t="str">
        <v>CP3</v>
      </c>
      <c r="C37" t="str">
        <v>CP5</v>
      </c>
      <c r="D37">
        <v>0</v>
      </c>
      <c r="E37">
        <f>ABS(D37)+1</f>
      </c>
      <c r="F37">
        <f>E37</f>
      </c>
      <c r="G37">
        <f>IF(D37&lt;0,"← "&amp;B37,IF(D37&gt;0,"→ "&amp;C37,"= Sama Penting"))</f>
      </c>
      <c r="H37">
        <f>IF(E37=1,1,IF(E37&lt;=3,1,IF(E37&lt;=5,3,IF(E37&lt;=7,5,7))))</f>
      </c>
      <c r="I37">
        <f>IF(E37=1,1,IF(E37&lt;=3,3,IF(E37&lt;=5,5,IF(E37&lt;=7,7,9))))</f>
      </c>
      <c r="J37">
        <f>IF(E37=1,1,IF(E37&lt;=3,5,IF(E37&lt;=5,7,IF(E37&lt;=7,9,9))))</f>
      </c>
      <c r="K37">
        <f>IF(D37&gt;0,1/J37,H37)</f>
      </c>
      <c r="L37">
        <f>IF(D37&gt;0,1/I37,I37)</f>
      </c>
      <c r="M37">
        <f>IF(D37&gt;0,1/H37,J37)</f>
      </c>
    </row>
    <row r="38">
      <c r="A38">
        <v>18</v>
      </c>
      <c r="B38" t="str">
        <v>CP3</v>
      </c>
      <c r="C38" t="str">
        <v>CP6</v>
      </c>
      <c r="D38">
        <v>0</v>
      </c>
      <c r="E38">
        <f>ABS(D38)+1</f>
      </c>
      <c r="F38">
        <f>E38</f>
      </c>
      <c r="G38">
        <f>IF(D38&lt;0,"← "&amp;B38,IF(D38&gt;0,"→ "&amp;C38,"= Sama Penting"))</f>
      </c>
      <c r="H38">
        <f>IF(E38=1,1,IF(E38&lt;=3,1,IF(E38&lt;=5,3,IF(E38&lt;=7,5,7))))</f>
      </c>
      <c r="I38">
        <f>IF(E38=1,1,IF(E38&lt;=3,3,IF(E38&lt;=5,5,IF(E38&lt;=7,7,9))))</f>
      </c>
      <c r="J38">
        <f>IF(E38=1,1,IF(E38&lt;=3,5,IF(E38&lt;=5,7,IF(E38&lt;=7,9,9))))</f>
      </c>
      <c r="K38">
        <f>IF(D38&gt;0,1/J38,H38)</f>
      </c>
      <c r="L38">
        <f>IF(D38&gt;0,1/I38,I38)</f>
      </c>
      <c r="M38">
        <f>IF(D38&gt;0,1/H38,J38)</f>
      </c>
    </row>
    <row r="39">
      <c r="A39">
        <v>19</v>
      </c>
      <c r="B39" t="str">
        <v>CP3</v>
      </c>
      <c r="C39" t="str">
        <v>CP7</v>
      </c>
      <c r="D39">
        <v>0</v>
      </c>
      <c r="E39">
        <f>ABS(D39)+1</f>
      </c>
      <c r="F39">
        <f>E39</f>
      </c>
      <c r="G39">
        <f>IF(D39&lt;0,"← "&amp;B39,IF(D39&gt;0,"→ "&amp;C39,"= Sama Penting"))</f>
      </c>
      <c r="H39">
        <f>IF(E39=1,1,IF(E39&lt;=3,1,IF(E39&lt;=5,3,IF(E39&lt;=7,5,7))))</f>
      </c>
      <c r="I39">
        <f>IF(E39=1,1,IF(E39&lt;=3,3,IF(E39&lt;=5,5,IF(E39&lt;=7,7,9))))</f>
      </c>
      <c r="J39">
        <f>IF(E39=1,1,IF(E39&lt;=3,5,IF(E39&lt;=5,7,IF(E39&lt;=7,9,9))))</f>
      </c>
      <c r="K39">
        <f>IF(D39&gt;0,1/J39,H39)</f>
      </c>
      <c r="L39">
        <f>IF(D39&gt;0,1/I39,I39)</f>
      </c>
      <c r="M39">
        <f>IF(D39&gt;0,1/H39,J39)</f>
      </c>
    </row>
    <row r="40">
      <c r="A40">
        <v>20</v>
      </c>
      <c r="B40" t="str">
        <v>CP3</v>
      </c>
      <c r="C40" t="str">
        <v>CP8</v>
      </c>
      <c r="D40">
        <v>0</v>
      </c>
      <c r="E40">
        <f>ABS(D40)+1</f>
      </c>
      <c r="F40">
        <f>E40</f>
      </c>
      <c r="G40">
        <f>IF(D40&lt;0,"← "&amp;B40,IF(D40&gt;0,"→ "&amp;C40,"= Sama Penting"))</f>
      </c>
      <c r="H40">
        <f>IF(E40=1,1,IF(E40&lt;=3,1,IF(E40&lt;=5,3,IF(E40&lt;=7,5,7))))</f>
      </c>
      <c r="I40">
        <f>IF(E40=1,1,IF(E40&lt;=3,3,IF(E40&lt;=5,5,IF(E40&lt;=7,7,9))))</f>
      </c>
      <c r="J40">
        <f>IF(E40=1,1,IF(E40&lt;=3,5,IF(E40&lt;=5,7,IF(E40&lt;=7,9,9))))</f>
      </c>
      <c r="K40">
        <f>IF(D40&gt;0,1/J40,H40)</f>
      </c>
      <c r="L40">
        <f>IF(D40&gt;0,1/I40,I40)</f>
      </c>
      <c r="M40">
        <f>IF(D40&gt;0,1/H40,J40)</f>
      </c>
    </row>
    <row r="41">
      <c r="A41">
        <v>21</v>
      </c>
      <c r="B41" t="str">
        <v>CP3</v>
      </c>
      <c r="C41" t="str">
        <v>CP9</v>
      </c>
      <c r="D41">
        <v>0</v>
      </c>
      <c r="E41">
        <f>ABS(D41)+1</f>
      </c>
      <c r="F41">
        <f>E41</f>
      </c>
      <c r="G41">
        <f>IF(D41&lt;0,"← "&amp;B41,IF(D41&gt;0,"→ "&amp;C41,"= Sama Penting"))</f>
      </c>
      <c r="H41">
        <f>IF(E41=1,1,IF(E41&lt;=3,1,IF(E41&lt;=5,3,IF(E41&lt;=7,5,7))))</f>
      </c>
      <c r="I41">
        <f>IF(E41=1,1,IF(E41&lt;=3,3,IF(E41&lt;=5,5,IF(E41&lt;=7,7,9))))</f>
      </c>
      <c r="J41">
        <f>IF(E41=1,1,IF(E41&lt;=3,5,IF(E41&lt;=5,7,IF(E41&lt;=7,9,9))))</f>
      </c>
      <c r="K41">
        <f>IF(D41&gt;0,1/J41,H41)</f>
      </c>
      <c r="L41">
        <f>IF(D41&gt;0,1/I41,I41)</f>
      </c>
      <c r="M41">
        <f>IF(D41&gt;0,1/H41,J41)</f>
      </c>
    </row>
    <row r="42">
      <c r="A42">
        <v>22</v>
      </c>
      <c r="B42" t="str">
        <v>CP4</v>
      </c>
      <c r="C42" t="str">
        <v>CP5</v>
      </c>
      <c r="D42">
        <v>0</v>
      </c>
      <c r="E42">
        <f>ABS(D42)+1</f>
      </c>
      <c r="F42">
        <f>E42</f>
      </c>
      <c r="G42">
        <f>IF(D42&lt;0,"← "&amp;B42,IF(D42&gt;0,"→ "&amp;C42,"= Sama Penting"))</f>
      </c>
      <c r="H42">
        <f>IF(E42=1,1,IF(E42&lt;=3,1,IF(E42&lt;=5,3,IF(E42&lt;=7,5,7))))</f>
      </c>
      <c r="I42">
        <f>IF(E42=1,1,IF(E42&lt;=3,3,IF(E42&lt;=5,5,IF(E42&lt;=7,7,9))))</f>
      </c>
      <c r="J42">
        <f>IF(E42=1,1,IF(E42&lt;=3,5,IF(E42&lt;=5,7,IF(E42&lt;=7,9,9))))</f>
      </c>
      <c r="K42">
        <f>IF(D42&gt;0,1/J42,H42)</f>
      </c>
      <c r="L42">
        <f>IF(D42&gt;0,1/I42,I42)</f>
      </c>
      <c r="M42">
        <f>IF(D42&gt;0,1/H42,J42)</f>
      </c>
    </row>
    <row r="43">
      <c r="A43">
        <v>23</v>
      </c>
      <c r="B43" t="str">
        <v>CP4</v>
      </c>
      <c r="C43" t="str">
        <v>CP6</v>
      </c>
      <c r="D43">
        <v>0</v>
      </c>
      <c r="E43">
        <f>ABS(D43)+1</f>
      </c>
      <c r="F43">
        <f>E43</f>
      </c>
      <c r="G43">
        <f>IF(D43&lt;0,"← "&amp;B43,IF(D43&gt;0,"→ "&amp;C43,"= Sama Penting"))</f>
      </c>
      <c r="H43">
        <f>IF(E43=1,1,IF(E43&lt;=3,1,IF(E43&lt;=5,3,IF(E43&lt;=7,5,7))))</f>
      </c>
      <c r="I43">
        <f>IF(E43=1,1,IF(E43&lt;=3,3,IF(E43&lt;=5,5,IF(E43&lt;=7,7,9))))</f>
      </c>
      <c r="J43">
        <f>IF(E43=1,1,IF(E43&lt;=3,5,IF(E43&lt;=5,7,IF(E43&lt;=7,9,9))))</f>
      </c>
      <c r="K43">
        <f>IF(D43&gt;0,1/J43,H43)</f>
      </c>
      <c r="L43">
        <f>IF(D43&gt;0,1/I43,I43)</f>
      </c>
      <c r="M43">
        <f>IF(D43&gt;0,1/H43,J43)</f>
      </c>
    </row>
    <row r="44">
      <c r="A44">
        <v>24</v>
      </c>
      <c r="B44" t="str">
        <v>CP4</v>
      </c>
      <c r="C44" t="str">
        <v>CP7</v>
      </c>
      <c r="D44">
        <v>0</v>
      </c>
      <c r="E44">
        <f>ABS(D44)+1</f>
      </c>
      <c r="F44">
        <f>E44</f>
      </c>
      <c r="G44">
        <f>IF(D44&lt;0,"← "&amp;B44,IF(D44&gt;0,"→ "&amp;C44,"= Sama Penting"))</f>
      </c>
      <c r="H44">
        <f>IF(E44=1,1,IF(E44&lt;=3,1,IF(E44&lt;=5,3,IF(E44&lt;=7,5,7))))</f>
      </c>
      <c r="I44">
        <f>IF(E44=1,1,IF(E44&lt;=3,3,IF(E44&lt;=5,5,IF(E44&lt;=7,7,9))))</f>
      </c>
      <c r="J44">
        <f>IF(E44=1,1,IF(E44&lt;=3,5,IF(E44&lt;=5,7,IF(E44&lt;=7,9,9))))</f>
      </c>
      <c r="K44">
        <f>IF(D44&gt;0,1/J44,H44)</f>
      </c>
      <c r="L44">
        <f>IF(D44&gt;0,1/I44,I44)</f>
      </c>
      <c r="M44">
        <f>IF(D44&gt;0,1/H44,J44)</f>
      </c>
    </row>
    <row r="45">
      <c r="A45">
        <v>25</v>
      </c>
      <c r="B45" t="str">
        <v>CP4</v>
      </c>
      <c r="C45" t="str">
        <v>CP8</v>
      </c>
      <c r="D45">
        <v>0</v>
      </c>
      <c r="E45">
        <f>ABS(D45)+1</f>
      </c>
      <c r="F45">
        <f>E45</f>
      </c>
      <c r="G45">
        <f>IF(D45&lt;0,"← "&amp;B45,IF(D45&gt;0,"→ "&amp;C45,"= Sama Penting"))</f>
      </c>
      <c r="H45">
        <f>IF(E45=1,1,IF(E45&lt;=3,1,IF(E45&lt;=5,3,IF(E45&lt;=7,5,7))))</f>
      </c>
      <c r="I45">
        <f>IF(E45=1,1,IF(E45&lt;=3,3,IF(E45&lt;=5,5,IF(E45&lt;=7,7,9))))</f>
      </c>
      <c r="J45">
        <f>IF(E45=1,1,IF(E45&lt;=3,5,IF(E45&lt;=5,7,IF(E45&lt;=7,9,9))))</f>
      </c>
      <c r="K45">
        <f>IF(D45&gt;0,1/J45,H45)</f>
      </c>
      <c r="L45">
        <f>IF(D45&gt;0,1/I45,I45)</f>
      </c>
      <c r="M45">
        <f>IF(D45&gt;0,1/H45,J45)</f>
      </c>
    </row>
    <row r="46">
      <c r="A46">
        <v>26</v>
      </c>
      <c r="B46" t="str">
        <v>CP4</v>
      </c>
      <c r="C46" t="str">
        <v>CP9</v>
      </c>
      <c r="D46">
        <v>0</v>
      </c>
      <c r="E46">
        <f>ABS(D46)+1</f>
      </c>
      <c r="F46">
        <f>E46</f>
      </c>
      <c r="G46">
        <f>IF(D46&lt;0,"← "&amp;B46,IF(D46&gt;0,"→ "&amp;C46,"= Sama Penting"))</f>
      </c>
      <c r="H46">
        <f>IF(E46=1,1,IF(E46&lt;=3,1,IF(E46&lt;=5,3,IF(E46&lt;=7,5,7))))</f>
      </c>
      <c r="I46">
        <f>IF(E46=1,1,IF(E46&lt;=3,3,IF(E46&lt;=5,5,IF(E46&lt;=7,7,9))))</f>
      </c>
      <c r="J46">
        <f>IF(E46=1,1,IF(E46&lt;=3,5,IF(E46&lt;=5,7,IF(E46&lt;=7,9,9))))</f>
      </c>
      <c r="K46">
        <f>IF(D46&gt;0,1/J46,H46)</f>
      </c>
      <c r="L46">
        <f>IF(D46&gt;0,1/I46,I46)</f>
      </c>
      <c r="M46">
        <f>IF(D46&gt;0,1/H46,J46)</f>
      </c>
    </row>
    <row r="47">
      <c r="A47">
        <v>27</v>
      </c>
      <c r="B47" t="str">
        <v>CP5</v>
      </c>
      <c r="C47" t="str">
        <v>CP6</v>
      </c>
      <c r="D47">
        <v>0</v>
      </c>
      <c r="E47">
        <f>ABS(D47)+1</f>
      </c>
      <c r="F47">
        <f>E47</f>
      </c>
      <c r="G47">
        <f>IF(D47&lt;0,"← "&amp;B47,IF(D47&gt;0,"→ "&amp;C47,"= Sama Penting"))</f>
      </c>
      <c r="H47">
        <f>IF(E47=1,1,IF(E47&lt;=3,1,IF(E47&lt;=5,3,IF(E47&lt;=7,5,7))))</f>
      </c>
      <c r="I47">
        <f>IF(E47=1,1,IF(E47&lt;=3,3,IF(E47&lt;=5,5,IF(E47&lt;=7,7,9))))</f>
      </c>
      <c r="J47">
        <f>IF(E47=1,1,IF(E47&lt;=3,5,IF(E47&lt;=5,7,IF(E47&lt;=7,9,9))))</f>
      </c>
      <c r="K47">
        <f>IF(D47&gt;0,1/J47,H47)</f>
      </c>
      <c r="L47">
        <f>IF(D47&gt;0,1/I47,I47)</f>
      </c>
      <c r="M47">
        <f>IF(D47&gt;0,1/H47,J47)</f>
      </c>
    </row>
    <row r="48">
      <c r="A48">
        <v>28</v>
      </c>
      <c r="B48" t="str">
        <v>CP5</v>
      </c>
      <c r="C48" t="str">
        <v>CP7</v>
      </c>
      <c r="D48">
        <v>0</v>
      </c>
      <c r="E48">
        <f>ABS(D48)+1</f>
      </c>
      <c r="F48">
        <f>E48</f>
      </c>
      <c r="G48">
        <f>IF(D48&lt;0,"← "&amp;B48,IF(D48&gt;0,"→ "&amp;C48,"= Sama Penting"))</f>
      </c>
      <c r="H48">
        <f>IF(E48=1,1,IF(E48&lt;=3,1,IF(E48&lt;=5,3,IF(E48&lt;=7,5,7))))</f>
      </c>
      <c r="I48">
        <f>IF(E48=1,1,IF(E48&lt;=3,3,IF(E48&lt;=5,5,IF(E48&lt;=7,7,9))))</f>
      </c>
      <c r="J48">
        <f>IF(E48=1,1,IF(E48&lt;=3,5,IF(E48&lt;=5,7,IF(E48&lt;=7,9,9))))</f>
      </c>
      <c r="K48">
        <f>IF(D48&gt;0,1/J48,H48)</f>
      </c>
      <c r="L48">
        <f>IF(D48&gt;0,1/I48,I48)</f>
      </c>
      <c r="M48">
        <f>IF(D48&gt;0,1/H48,J48)</f>
      </c>
    </row>
    <row r="49">
      <c r="A49">
        <v>29</v>
      </c>
      <c r="B49" t="str">
        <v>CP5</v>
      </c>
      <c r="C49" t="str">
        <v>CP8</v>
      </c>
      <c r="D49">
        <v>0</v>
      </c>
      <c r="E49">
        <f>ABS(D49)+1</f>
      </c>
      <c r="F49">
        <f>E49</f>
      </c>
      <c r="G49">
        <f>IF(D49&lt;0,"← "&amp;B49,IF(D49&gt;0,"→ "&amp;C49,"= Sama Penting"))</f>
      </c>
      <c r="H49">
        <f>IF(E49=1,1,IF(E49&lt;=3,1,IF(E49&lt;=5,3,IF(E49&lt;=7,5,7))))</f>
      </c>
      <c r="I49">
        <f>IF(E49=1,1,IF(E49&lt;=3,3,IF(E49&lt;=5,5,IF(E49&lt;=7,7,9))))</f>
      </c>
      <c r="J49">
        <f>IF(E49=1,1,IF(E49&lt;=3,5,IF(E49&lt;=5,7,IF(E49&lt;=7,9,9))))</f>
      </c>
      <c r="K49">
        <f>IF(D49&gt;0,1/J49,H49)</f>
      </c>
      <c r="L49">
        <f>IF(D49&gt;0,1/I49,I49)</f>
      </c>
      <c r="M49">
        <f>IF(D49&gt;0,1/H49,J49)</f>
      </c>
    </row>
    <row r="50">
      <c r="A50">
        <v>30</v>
      </c>
      <c r="B50" t="str">
        <v>CP5</v>
      </c>
      <c r="C50" t="str">
        <v>CP9</v>
      </c>
      <c r="D50">
        <v>0</v>
      </c>
      <c r="E50">
        <f>ABS(D50)+1</f>
      </c>
      <c r="F50">
        <f>E50</f>
      </c>
      <c r="G50">
        <f>IF(D50&lt;0,"← "&amp;B50,IF(D50&gt;0,"→ "&amp;C50,"= Sama Penting"))</f>
      </c>
      <c r="H50">
        <f>IF(E50=1,1,IF(E50&lt;=3,1,IF(E50&lt;=5,3,IF(E50&lt;=7,5,7))))</f>
      </c>
      <c r="I50">
        <f>IF(E50=1,1,IF(E50&lt;=3,3,IF(E50&lt;=5,5,IF(E50&lt;=7,7,9))))</f>
      </c>
      <c r="J50">
        <f>IF(E50=1,1,IF(E50&lt;=3,5,IF(E50&lt;=5,7,IF(E50&lt;=7,9,9))))</f>
      </c>
      <c r="K50">
        <f>IF(D50&gt;0,1/J50,H50)</f>
      </c>
      <c r="L50">
        <f>IF(D50&gt;0,1/I50,I50)</f>
      </c>
      <c r="M50">
        <f>IF(D50&gt;0,1/H50,J50)</f>
      </c>
    </row>
    <row r="51">
      <c r="A51">
        <v>31</v>
      </c>
      <c r="B51" t="str">
        <v>CP6</v>
      </c>
      <c r="C51" t="str">
        <v>CP7</v>
      </c>
      <c r="D51">
        <v>0</v>
      </c>
      <c r="E51">
        <f>ABS(D51)+1</f>
      </c>
      <c r="F51">
        <f>E51</f>
      </c>
      <c r="G51">
        <f>IF(D51&lt;0,"← "&amp;B51,IF(D51&gt;0,"→ "&amp;C51,"= Sama Penting"))</f>
      </c>
      <c r="H51">
        <f>IF(E51=1,1,IF(E51&lt;=3,1,IF(E51&lt;=5,3,IF(E51&lt;=7,5,7))))</f>
      </c>
      <c r="I51">
        <f>IF(E51=1,1,IF(E51&lt;=3,3,IF(E51&lt;=5,5,IF(E51&lt;=7,7,9))))</f>
      </c>
      <c r="J51">
        <f>IF(E51=1,1,IF(E51&lt;=3,5,IF(E51&lt;=5,7,IF(E51&lt;=7,9,9))))</f>
      </c>
      <c r="K51">
        <f>IF(D51&gt;0,1/J51,H51)</f>
      </c>
      <c r="L51">
        <f>IF(D51&gt;0,1/I51,I51)</f>
      </c>
      <c r="M51">
        <f>IF(D51&gt;0,1/H51,J51)</f>
      </c>
    </row>
    <row r="52">
      <c r="A52">
        <v>32</v>
      </c>
      <c r="B52" t="str">
        <v>CP6</v>
      </c>
      <c r="C52" t="str">
        <v>CP8</v>
      </c>
      <c r="D52">
        <v>0</v>
      </c>
      <c r="E52">
        <f>ABS(D52)+1</f>
      </c>
      <c r="F52">
        <f>E52</f>
      </c>
      <c r="G52">
        <f>IF(D52&lt;0,"← "&amp;B52,IF(D52&gt;0,"→ "&amp;C52,"= Sama Penting"))</f>
      </c>
      <c r="H52">
        <f>IF(E52=1,1,IF(E52&lt;=3,1,IF(E52&lt;=5,3,IF(E52&lt;=7,5,7))))</f>
      </c>
      <c r="I52">
        <f>IF(E52=1,1,IF(E52&lt;=3,3,IF(E52&lt;=5,5,IF(E52&lt;=7,7,9))))</f>
      </c>
      <c r="J52">
        <f>IF(E52=1,1,IF(E52&lt;=3,5,IF(E52&lt;=5,7,IF(E52&lt;=7,9,9))))</f>
      </c>
      <c r="K52">
        <f>IF(D52&gt;0,1/J52,H52)</f>
      </c>
      <c r="L52">
        <f>IF(D52&gt;0,1/I52,I52)</f>
      </c>
      <c r="M52">
        <f>IF(D52&gt;0,1/H52,J52)</f>
      </c>
    </row>
    <row r="53">
      <c r="A53">
        <v>33</v>
      </c>
      <c r="B53" t="str">
        <v>CP6</v>
      </c>
      <c r="C53" t="str">
        <v>CP9</v>
      </c>
      <c r="D53">
        <v>0</v>
      </c>
      <c r="E53">
        <f>ABS(D53)+1</f>
      </c>
      <c r="F53">
        <f>E53</f>
      </c>
      <c r="G53">
        <f>IF(D53&lt;0,"← "&amp;B53,IF(D53&gt;0,"→ "&amp;C53,"= Sama Penting"))</f>
      </c>
      <c r="H53">
        <f>IF(E53=1,1,IF(E53&lt;=3,1,IF(E53&lt;=5,3,IF(E53&lt;=7,5,7))))</f>
      </c>
      <c r="I53">
        <f>IF(E53=1,1,IF(E53&lt;=3,3,IF(E53&lt;=5,5,IF(E53&lt;=7,7,9))))</f>
      </c>
      <c r="J53">
        <f>IF(E53=1,1,IF(E53&lt;=3,5,IF(E53&lt;=5,7,IF(E53&lt;=7,9,9))))</f>
      </c>
      <c r="K53">
        <f>IF(D53&gt;0,1/J53,H53)</f>
      </c>
      <c r="L53">
        <f>IF(D53&gt;0,1/I53,I53)</f>
      </c>
      <c r="M53">
        <f>IF(D53&gt;0,1/H53,J53)</f>
      </c>
    </row>
    <row r="54">
      <c r="A54">
        <v>34</v>
      </c>
      <c r="B54" t="str">
        <v>CP7</v>
      </c>
      <c r="C54" t="str">
        <v>CP8</v>
      </c>
      <c r="D54">
        <v>0</v>
      </c>
      <c r="E54">
        <f>ABS(D54)+1</f>
      </c>
      <c r="F54">
        <f>E54</f>
      </c>
      <c r="G54">
        <f>IF(D54&lt;0,"← "&amp;B54,IF(D54&gt;0,"→ "&amp;C54,"= Sama Penting"))</f>
      </c>
      <c r="H54">
        <f>IF(E54=1,1,IF(E54&lt;=3,1,IF(E54&lt;=5,3,IF(E54&lt;=7,5,7))))</f>
      </c>
      <c r="I54">
        <f>IF(E54=1,1,IF(E54&lt;=3,3,IF(E54&lt;=5,5,IF(E54&lt;=7,7,9))))</f>
      </c>
      <c r="J54">
        <f>IF(E54=1,1,IF(E54&lt;=3,5,IF(E54&lt;=5,7,IF(E54&lt;=7,9,9))))</f>
      </c>
      <c r="K54">
        <f>IF(D54&gt;0,1/J54,H54)</f>
      </c>
      <c r="L54">
        <f>IF(D54&gt;0,1/I54,I54)</f>
      </c>
      <c r="M54">
        <f>IF(D54&gt;0,1/H54,J54)</f>
      </c>
    </row>
    <row r="55">
      <c r="A55">
        <v>35</v>
      </c>
      <c r="B55" t="str">
        <v>CP7</v>
      </c>
      <c r="C55" t="str">
        <v>CP9</v>
      </c>
      <c r="D55">
        <v>0</v>
      </c>
      <c r="E55">
        <f>ABS(D55)+1</f>
      </c>
      <c r="F55">
        <f>E55</f>
      </c>
      <c r="G55">
        <f>IF(D55&lt;0,"← "&amp;B55,IF(D55&gt;0,"→ "&amp;C55,"= Sama Penting"))</f>
      </c>
      <c r="H55">
        <f>IF(E55=1,1,IF(E55&lt;=3,1,IF(E55&lt;=5,3,IF(E55&lt;=7,5,7))))</f>
      </c>
      <c r="I55">
        <f>IF(E55=1,1,IF(E55&lt;=3,3,IF(E55&lt;=5,5,IF(E55&lt;=7,7,9))))</f>
      </c>
      <c r="J55">
        <f>IF(E55=1,1,IF(E55&lt;=3,5,IF(E55&lt;=5,7,IF(E55&lt;=7,9,9))))</f>
      </c>
      <c r="K55">
        <f>IF(D55&gt;0,1/J55,H55)</f>
      </c>
      <c r="L55">
        <f>IF(D55&gt;0,1/I55,I55)</f>
      </c>
      <c r="M55">
        <f>IF(D55&gt;0,1/H55,J55)</f>
      </c>
    </row>
    <row r="56">
      <c r="A56">
        <v>36</v>
      </c>
      <c r="B56" t="str">
        <v>CP8</v>
      </c>
      <c r="C56" t="str">
        <v>CP9</v>
      </c>
      <c r="D56">
        <v>0</v>
      </c>
      <c r="E56">
        <f>ABS(D56)+1</f>
      </c>
      <c r="F56">
        <f>E56</f>
      </c>
      <c r="G56">
        <f>IF(D56&lt;0,"← "&amp;B56,IF(D56&gt;0,"→ "&amp;C56,"= Sama Penting"))</f>
      </c>
      <c r="H56">
        <f>IF(E56=1,1,IF(E56&lt;=3,1,IF(E56&lt;=5,3,IF(E56&lt;=7,5,7))))</f>
      </c>
      <c r="I56">
        <f>IF(E56=1,1,IF(E56&lt;=3,3,IF(E56&lt;=5,5,IF(E56&lt;=7,7,9))))</f>
      </c>
      <c r="J56">
        <f>IF(E56=1,1,IF(E56&lt;=3,5,IF(E56&lt;=5,7,IF(E56&lt;=7,9,9))))</f>
      </c>
      <c r="K56">
        <f>IF(D56&gt;0,1/J56,H56)</f>
      </c>
      <c r="L56">
        <f>IF(D56&gt;0,1/I56,I56)</f>
      </c>
      <c r="M56">
        <f>IF(D56&gt;0,1/H56,J56)</f>
      </c>
    </row>
    <row r="59">
      <c r="A59" t="str">
        <v>═══ RESPONDEN 2 ═══</v>
      </c>
    </row>
    <row r="60">
      <c r="A60" t="str">
        <v>No</v>
      </c>
      <c r="B60" t="str">
        <v>Kriteria A</v>
      </c>
      <c r="C60" t="str">
        <v>Kriteria B</v>
      </c>
      <c r="D60" t="str">
        <v>Slider (-8..8)</v>
      </c>
      <c r="E60" t="str">
        <v>absVal</v>
      </c>
      <c r="F60" t="str">
        <v>Saaty</v>
      </c>
      <c r="G60" t="str">
        <v>Arah</v>
      </c>
      <c r="H60" t="str">
        <v>l (original)</v>
      </c>
      <c r="I60" t="str">
        <v>m (original)</v>
      </c>
      <c r="J60" t="str">
        <v>u (original)</v>
      </c>
      <c r="K60" t="str">
        <v>TFN l (final)</v>
      </c>
      <c r="L60" t="str">
        <v>TFN m (final)</v>
      </c>
      <c r="M60" t="str">
        <v>TFN u (final)</v>
      </c>
    </row>
    <row r="61">
      <c r="A61">
        <v>1</v>
      </c>
      <c r="B61" t="str">
        <v>CP1</v>
      </c>
      <c r="C61" t="str">
        <v>CP2</v>
      </c>
      <c r="D61">
        <v>0</v>
      </c>
      <c r="E61">
        <f>ABS(D61)+1</f>
      </c>
      <c r="F61">
        <f>E61</f>
      </c>
      <c r="G61">
        <f>IF(D61&lt;0,"← "&amp;B61,IF(D61&gt;0,"→ "&amp;C61,"= Sama Penting"))</f>
      </c>
      <c r="H61">
        <f>IF(E61=1,1,IF(E61&lt;=3,1,IF(E61&lt;=5,3,IF(E61&lt;=7,5,7))))</f>
      </c>
      <c r="I61">
        <f>IF(E61=1,1,IF(E61&lt;=3,3,IF(E61&lt;=5,5,IF(E61&lt;=7,7,9))))</f>
      </c>
      <c r="J61">
        <f>IF(E61=1,1,IF(E61&lt;=3,5,IF(E61&lt;=5,7,IF(E61&lt;=7,9,9))))</f>
      </c>
      <c r="K61">
        <f>IF(D61&gt;0,1/J61,H61)</f>
      </c>
      <c r="L61">
        <f>IF(D61&gt;0,1/I61,I61)</f>
      </c>
      <c r="M61">
        <f>IF(D61&gt;0,1/H61,J61)</f>
      </c>
    </row>
    <row r="62">
      <c r="A62">
        <v>2</v>
      </c>
      <c r="B62" t="str">
        <v>CP1</v>
      </c>
      <c r="C62" t="str">
        <v>CP3</v>
      </c>
      <c r="D62">
        <v>0</v>
      </c>
      <c r="E62">
        <f>ABS(D62)+1</f>
      </c>
      <c r="F62">
        <f>E62</f>
      </c>
      <c r="G62">
        <f>IF(D62&lt;0,"← "&amp;B62,IF(D62&gt;0,"→ "&amp;C62,"= Sama Penting"))</f>
      </c>
      <c r="H62">
        <f>IF(E62=1,1,IF(E62&lt;=3,1,IF(E62&lt;=5,3,IF(E62&lt;=7,5,7))))</f>
      </c>
      <c r="I62">
        <f>IF(E62=1,1,IF(E62&lt;=3,3,IF(E62&lt;=5,5,IF(E62&lt;=7,7,9))))</f>
      </c>
      <c r="J62">
        <f>IF(E62=1,1,IF(E62&lt;=3,5,IF(E62&lt;=5,7,IF(E62&lt;=7,9,9))))</f>
      </c>
      <c r="K62">
        <f>IF(D62&gt;0,1/J62,H62)</f>
      </c>
      <c r="L62">
        <f>IF(D62&gt;0,1/I62,I62)</f>
      </c>
      <c r="M62">
        <f>IF(D62&gt;0,1/H62,J62)</f>
      </c>
    </row>
    <row r="63">
      <c r="A63">
        <v>3</v>
      </c>
      <c r="B63" t="str">
        <v>CP1</v>
      </c>
      <c r="C63" t="str">
        <v>CP4</v>
      </c>
      <c r="D63">
        <v>0</v>
      </c>
      <c r="E63">
        <f>ABS(D63)+1</f>
      </c>
      <c r="F63">
        <f>E63</f>
      </c>
      <c r="G63">
        <f>IF(D63&lt;0,"← "&amp;B63,IF(D63&gt;0,"→ "&amp;C63,"= Sama Penting"))</f>
      </c>
      <c r="H63">
        <f>IF(E63=1,1,IF(E63&lt;=3,1,IF(E63&lt;=5,3,IF(E63&lt;=7,5,7))))</f>
      </c>
      <c r="I63">
        <f>IF(E63=1,1,IF(E63&lt;=3,3,IF(E63&lt;=5,5,IF(E63&lt;=7,7,9))))</f>
      </c>
      <c r="J63">
        <f>IF(E63=1,1,IF(E63&lt;=3,5,IF(E63&lt;=5,7,IF(E63&lt;=7,9,9))))</f>
      </c>
      <c r="K63">
        <f>IF(D63&gt;0,1/J63,H63)</f>
      </c>
      <c r="L63">
        <f>IF(D63&gt;0,1/I63,I63)</f>
      </c>
      <c r="M63">
        <f>IF(D63&gt;0,1/H63,J63)</f>
      </c>
    </row>
    <row r="64">
      <c r="A64">
        <v>4</v>
      </c>
      <c r="B64" t="str">
        <v>CP1</v>
      </c>
      <c r="C64" t="str">
        <v>CP5</v>
      </c>
      <c r="D64">
        <v>0</v>
      </c>
      <c r="E64">
        <f>ABS(D64)+1</f>
      </c>
      <c r="F64">
        <f>E64</f>
      </c>
      <c r="G64">
        <f>IF(D64&lt;0,"← "&amp;B64,IF(D64&gt;0,"→ "&amp;C64,"= Sama Penting"))</f>
      </c>
      <c r="H64">
        <f>IF(E64=1,1,IF(E64&lt;=3,1,IF(E64&lt;=5,3,IF(E64&lt;=7,5,7))))</f>
      </c>
      <c r="I64">
        <f>IF(E64=1,1,IF(E64&lt;=3,3,IF(E64&lt;=5,5,IF(E64&lt;=7,7,9))))</f>
      </c>
      <c r="J64">
        <f>IF(E64=1,1,IF(E64&lt;=3,5,IF(E64&lt;=5,7,IF(E64&lt;=7,9,9))))</f>
      </c>
      <c r="K64">
        <f>IF(D64&gt;0,1/J64,H64)</f>
      </c>
      <c r="L64">
        <f>IF(D64&gt;0,1/I64,I64)</f>
      </c>
      <c r="M64">
        <f>IF(D64&gt;0,1/H64,J64)</f>
      </c>
    </row>
    <row r="65">
      <c r="A65">
        <v>5</v>
      </c>
      <c r="B65" t="str">
        <v>CP1</v>
      </c>
      <c r="C65" t="str">
        <v>CP6</v>
      </c>
      <c r="D65">
        <v>0</v>
      </c>
      <c r="E65">
        <f>ABS(D65)+1</f>
      </c>
      <c r="F65">
        <f>E65</f>
      </c>
      <c r="G65">
        <f>IF(D65&lt;0,"← "&amp;B65,IF(D65&gt;0,"→ "&amp;C65,"= Sama Penting"))</f>
      </c>
      <c r="H65">
        <f>IF(E65=1,1,IF(E65&lt;=3,1,IF(E65&lt;=5,3,IF(E65&lt;=7,5,7))))</f>
      </c>
      <c r="I65">
        <f>IF(E65=1,1,IF(E65&lt;=3,3,IF(E65&lt;=5,5,IF(E65&lt;=7,7,9))))</f>
      </c>
      <c r="J65">
        <f>IF(E65=1,1,IF(E65&lt;=3,5,IF(E65&lt;=5,7,IF(E65&lt;=7,9,9))))</f>
      </c>
      <c r="K65">
        <f>IF(D65&gt;0,1/J65,H65)</f>
      </c>
      <c r="L65">
        <f>IF(D65&gt;0,1/I65,I65)</f>
      </c>
      <c r="M65">
        <f>IF(D65&gt;0,1/H65,J65)</f>
      </c>
    </row>
    <row r="66">
      <c r="A66">
        <v>6</v>
      </c>
      <c r="B66" t="str">
        <v>CP1</v>
      </c>
      <c r="C66" t="str">
        <v>CP7</v>
      </c>
      <c r="D66">
        <v>0</v>
      </c>
      <c r="E66">
        <f>ABS(D66)+1</f>
      </c>
      <c r="F66">
        <f>E66</f>
      </c>
      <c r="G66">
        <f>IF(D66&lt;0,"← "&amp;B66,IF(D66&gt;0,"→ "&amp;C66,"= Sama Penting"))</f>
      </c>
      <c r="H66">
        <f>IF(E66=1,1,IF(E66&lt;=3,1,IF(E66&lt;=5,3,IF(E66&lt;=7,5,7))))</f>
      </c>
      <c r="I66">
        <f>IF(E66=1,1,IF(E66&lt;=3,3,IF(E66&lt;=5,5,IF(E66&lt;=7,7,9))))</f>
      </c>
      <c r="J66">
        <f>IF(E66=1,1,IF(E66&lt;=3,5,IF(E66&lt;=5,7,IF(E66&lt;=7,9,9))))</f>
      </c>
      <c r="K66">
        <f>IF(D66&gt;0,1/J66,H66)</f>
      </c>
      <c r="L66">
        <f>IF(D66&gt;0,1/I66,I66)</f>
      </c>
      <c r="M66">
        <f>IF(D66&gt;0,1/H66,J66)</f>
      </c>
    </row>
    <row r="67">
      <c r="A67">
        <v>7</v>
      </c>
      <c r="B67" t="str">
        <v>CP1</v>
      </c>
      <c r="C67" t="str">
        <v>CP8</v>
      </c>
      <c r="D67">
        <v>0</v>
      </c>
      <c r="E67">
        <f>ABS(D67)+1</f>
      </c>
      <c r="F67">
        <f>E67</f>
      </c>
      <c r="G67">
        <f>IF(D67&lt;0,"← "&amp;B67,IF(D67&gt;0,"→ "&amp;C67,"= Sama Penting"))</f>
      </c>
      <c r="H67">
        <f>IF(E67=1,1,IF(E67&lt;=3,1,IF(E67&lt;=5,3,IF(E67&lt;=7,5,7))))</f>
      </c>
      <c r="I67">
        <f>IF(E67=1,1,IF(E67&lt;=3,3,IF(E67&lt;=5,5,IF(E67&lt;=7,7,9))))</f>
      </c>
      <c r="J67">
        <f>IF(E67=1,1,IF(E67&lt;=3,5,IF(E67&lt;=5,7,IF(E67&lt;=7,9,9))))</f>
      </c>
      <c r="K67">
        <f>IF(D67&gt;0,1/J67,H67)</f>
      </c>
      <c r="L67">
        <f>IF(D67&gt;0,1/I67,I67)</f>
      </c>
      <c r="M67">
        <f>IF(D67&gt;0,1/H67,J67)</f>
      </c>
    </row>
    <row r="68">
      <c r="A68">
        <v>8</v>
      </c>
      <c r="B68" t="str">
        <v>CP1</v>
      </c>
      <c r="C68" t="str">
        <v>CP9</v>
      </c>
      <c r="D68">
        <v>0</v>
      </c>
      <c r="E68">
        <f>ABS(D68)+1</f>
      </c>
      <c r="F68">
        <f>E68</f>
      </c>
      <c r="G68">
        <f>IF(D68&lt;0,"← "&amp;B68,IF(D68&gt;0,"→ "&amp;C68,"= Sama Penting"))</f>
      </c>
      <c r="H68">
        <f>IF(E68=1,1,IF(E68&lt;=3,1,IF(E68&lt;=5,3,IF(E68&lt;=7,5,7))))</f>
      </c>
      <c r="I68">
        <f>IF(E68=1,1,IF(E68&lt;=3,3,IF(E68&lt;=5,5,IF(E68&lt;=7,7,9))))</f>
      </c>
      <c r="J68">
        <f>IF(E68=1,1,IF(E68&lt;=3,5,IF(E68&lt;=5,7,IF(E68&lt;=7,9,9))))</f>
      </c>
      <c r="K68">
        <f>IF(D68&gt;0,1/J68,H68)</f>
      </c>
      <c r="L68">
        <f>IF(D68&gt;0,1/I68,I68)</f>
      </c>
      <c r="M68">
        <f>IF(D68&gt;0,1/H68,J68)</f>
      </c>
    </row>
    <row r="69">
      <c r="A69">
        <v>9</v>
      </c>
      <c r="B69" t="str">
        <v>CP2</v>
      </c>
      <c r="C69" t="str">
        <v>CP3</v>
      </c>
      <c r="D69">
        <v>0</v>
      </c>
      <c r="E69">
        <f>ABS(D69)+1</f>
      </c>
      <c r="F69">
        <f>E69</f>
      </c>
      <c r="G69">
        <f>IF(D69&lt;0,"← "&amp;B69,IF(D69&gt;0,"→ "&amp;C69,"= Sama Penting"))</f>
      </c>
      <c r="H69">
        <f>IF(E69=1,1,IF(E69&lt;=3,1,IF(E69&lt;=5,3,IF(E69&lt;=7,5,7))))</f>
      </c>
      <c r="I69">
        <f>IF(E69=1,1,IF(E69&lt;=3,3,IF(E69&lt;=5,5,IF(E69&lt;=7,7,9))))</f>
      </c>
      <c r="J69">
        <f>IF(E69=1,1,IF(E69&lt;=3,5,IF(E69&lt;=5,7,IF(E69&lt;=7,9,9))))</f>
      </c>
      <c r="K69">
        <f>IF(D69&gt;0,1/J69,H69)</f>
      </c>
      <c r="L69">
        <f>IF(D69&gt;0,1/I69,I69)</f>
      </c>
      <c r="M69">
        <f>IF(D69&gt;0,1/H69,J69)</f>
      </c>
    </row>
    <row r="70">
      <c r="A70">
        <v>10</v>
      </c>
      <c r="B70" t="str">
        <v>CP2</v>
      </c>
      <c r="C70" t="str">
        <v>CP4</v>
      </c>
      <c r="D70">
        <v>0</v>
      </c>
      <c r="E70">
        <f>ABS(D70)+1</f>
      </c>
      <c r="F70">
        <f>E70</f>
      </c>
      <c r="G70">
        <f>IF(D70&lt;0,"← "&amp;B70,IF(D70&gt;0,"→ "&amp;C70,"= Sama Penting"))</f>
      </c>
      <c r="H70">
        <f>IF(E70=1,1,IF(E70&lt;=3,1,IF(E70&lt;=5,3,IF(E70&lt;=7,5,7))))</f>
      </c>
      <c r="I70">
        <f>IF(E70=1,1,IF(E70&lt;=3,3,IF(E70&lt;=5,5,IF(E70&lt;=7,7,9))))</f>
      </c>
      <c r="J70">
        <f>IF(E70=1,1,IF(E70&lt;=3,5,IF(E70&lt;=5,7,IF(E70&lt;=7,9,9))))</f>
      </c>
      <c r="K70">
        <f>IF(D70&gt;0,1/J70,H70)</f>
      </c>
      <c r="L70">
        <f>IF(D70&gt;0,1/I70,I70)</f>
      </c>
      <c r="M70">
        <f>IF(D70&gt;0,1/H70,J70)</f>
      </c>
    </row>
    <row r="71">
      <c r="A71">
        <v>11</v>
      </c>
      <c r="B71" t="str">
        <v>CP2</v>
      </c>
      <c r="C71" t="str">
        <v>CP5</v>
      </c>
      <c r="D71">
        <v>0</v>
      </c>
      <c r="E71">
        <f>ABS(D71)+1</f>
      </c>
      <c r="F71">
        <f>E71</f>
      </c>
      <c r="G71">
        <f>IF(D71&lt;0,"← "&amp;B71,IF(D71&gt;0,"→ "&amp;C71,"= Sama Penting"))</f>
      </c>
      <c r="H71">
        <f>IF(E71=1,1,IF(E71&lt;=3,1,IF(E71&lt;=5,3,IF(E71&lt;=7,5,7))))</f>
      </c>
      <c r="I71">
        <f>IF(E71=1,1,IF(E71&lt;=3,3,IF(E71&lt;=5,5,IF(E71&lt;=7,7,9))))</f>
      </c>
      <c r="J71">
        <f>IF(E71=1,1,IF(E71&lt;=3,5,IF(E71&lt;=5,7,IF(E71&lt;=7,9,9))))</f>
      </c>
      <c r="K71">
        <f>IF(D71&gt;0,1/J71,H71)</f>
      </c>
      <c r="L71">
        <f>IF(D71&gt;0,1/I71,I71)</f>
      </c>
      <c r="M71">
        <f>IF(D71&gt;0,1/H71,J71)</f>
      </c>
    </row>
    <row r="72">
      <c r="A72">
        <v>12</v>
      </c>
      <c r="B72" t="str">
        <v>CP2</v>
      </c>
      <c r="C72" t="str">
        <v>CP6</v>
      </c>
      <c r="D72">
        <v>0</v>
      </c>
      <c r="E72">
        <f>ABS(D72)+1</f>
      </c>
      <c r="F72">
        <f>E72</f>
      </c>
      <c r="G72">
        <f>IF(D72&lt;0,"← "&amp;B72,IF(D72&gt;0,"→ "&amp;C72,"= Sama Penting"))</f>
      </c>
      <c r="H72">
        <f>IF(E72=1,1,IF(E72&lt;=3,1,IF(E72&lt;=5,3,IF(E72&lt;=7,5,7))))</f>
      </c>
      <c r="I72">
        <f>IF(E72=1,1,IF(E72&lt;=3,3,IF(E72&lt;=5,5,IF(E72&lt;=7,7,9))))</f>
      </c>
      <c r="J72">
        <f>IF(E72=1,1,IF(E72&lt;=3,5,IF(E72&lt;=5,7,IF(E72&lt;=7,9,9))))</f>
      </c>
      <c r="K72">
        <f>IF(D72&gt;0,1/J72,H72)</f>
      </c>
      <c r="L72">
        <f>IF(D72&gt;0,1/I72,I72)</f>
      </c>
      <c r="M72">
        <f>IF(D72&gt;0,1/H72,J72)</f>
      </c>
    </row>
    <row r="73">
      <c r="A73">
        <v>13</v>
      </c>
      <c r="B73" t="str">
        <v>CP2</v>
      </c>
      <c r="C73" t="str">
        <v>CP7</v>
      </c>
      <c r="D73">
        <v>0</v>
      </c>
      <c r="E73">
        <f>ABS(D73)+1</f>
      </c>
      <c r="F73">
        <f>E73</f>
      </c>
      <c r="G73">
        <f>IF(D73&lt;0,"← "&amp;B73,IF(D73&gt;0,"→ "&amp;C73,"= Sama Penting"))</f>
      </c>
      <c r="H73">
        <f>IF(E73=1,1,IF(E73&lt;=3,1,IF(E73&lt;=5,3,IF(E73&lt;=7,5,7))))</f>
      </c>
      <c r="I73">
        <f>IF(E73=1,1,IF(E73&lt;=3,3,IF(E73&lt;=5,5,IF(E73&lt;=7,7,9))))</f>
      </c>
      <c r="J73">
        <f>IF(E73=1,1,IF(E73&lt;=3,5,IF(E73&lt;=5,7,IF(E73&lt;=7,9,9))))</f>
      </c>
      <c r="K73">
        <f>IF(D73&gt;0,1/J73,H73)</f>
      </c>
      <c r="L73">
        <f>IF(D73&gt;0,1/I73,I73)</f>
      </c>
      <c r="M73">
        <f>IF(D73&gt;0,1/H73,J73)</f>
      </c>
    </row>
    <row r="74">
      <c r="A74">
        <v>14</v>
      </c>
      <c r="B74" t="str">
        <v>CP2</v>
      </c>
      <c r="C74" t="str">
        <v>CP8</v>
      </c>
      <c r="D74">
        <v>0</v>
      </c>
      <c r="E74">
        <f>ABS(D74)+1</f>
      </c>
      <c r="F74">
        <f>E74</f>
      </c>
      <c r="G74">
        <f>IF(D74&lt;0,"← "&amp;B74,IF(D74&gt;0,"→ "&amp;C74,"= Sama Penting"))</f>
      </c>
      <c r="H74">
        <f>IF(E74=1,1,IF(E74&lt;=3,1,IF(E74&lt;=5,3,IF(E74&lt;=7,5,7))))</f>
      </c>
      <c r="I74">
        <f>IF(E74=1,1,IF(E74&lt;=3,3,IF(E74&lt;=5,5,IF(E74&lt;=7,7,9))))</f>
      </c>
      <c r="J74">
        <f>IF(E74=1,1,IF(E74&lt;=3,5,IF(E74&lt;=5,7,IF(E74&lt;=7,9,9))))</f>
      </c>
      <c r="K74">
        <f>IF(D74&gt;0,1/J74,H74)</f>
      </c>
      <c r="L74">
        <f>IF(D74&gt;0,1/I74,I74)</f>
      </c>
      <c r="M74">
        <f>IF(D74&gt;0,1/H74,J74)</f>
      </c>
    </row>
    <row r="75">
      <c r="A75">
        <v>15</v>
      </c>
      <c r="B75" t="str">
        <v>CP2</v>
      </c>
      <c r="C75" t="str">
        <v>CP9</v>
      </c>
      <c r="D75">
        <v>0</v>
      </c>
      <c r="E75">
        <f>ABS(D75)+1</f>
      </c>
      <c r="F75">
        <f>E75</f>
      </c>
      <c r="G75">
        <f>IF(D75&lt;0,"← "&amp;B75,IF(D75&gt;0,"→ "&amp;C75,"= Sama Penting"))</f>
      </c>
      <c r="H75">
        <f>IF(E75=1,1,IF(E75&lt;=3,1,IF(E75&lt;=5,3,IF(E75&lt;=7,5,7))))</f>
      </c>
      <c r="I75">
        <f>IF(E75=1,1,IF(E75&lt;=3,3,IF(E75&lt;=5,5,IF(E75&lt;=7,7,9))))</f>
      </c>
      <c r="J75">
        <f>IF(E75=1,1,IF(E75&lt;=3,5,IF(E75&lt;=5,7,IF(E75&lt;=7,9,9))))</f>
      </c>
      <c r="K75">
        <f>IF(D75&gt;0,1/J75,H75)</f>
      </c>
      <c r="L75">
        <f>IF(D75&gt;0,1/I75,I75)</f>
      </c>
      <c r="M75">
        <f>IF(D75&gt;0,1/H75,J75)</f>
      </c>
    </row>
    <row r="76">
      <c r="A76">
        <v>16</v>
      </c>
      <c r="B76" t="str">
        <v>CP3</v>
      </c>
      <c r="C76" t="str">
        <v>CP4</v>
      </c>
      <c r="D76">
        <v>0</v>
      </c>
      <c r="E76">
        <f>ABS(D76)+1</f>
      </c>
      <c r="F76">
        <f>E76</f>
      </c>
      <c r="G76">
        <f>IF(D76&lt;0,"← "&amp;B76,IF(D76&gt;0,"→ "&amp;C76,"= Sama Penting"))</f>
      </c>
      <c r="H76">
        <f>IF(E76=1,1,IF(E76&lt;=3,1,IF(E76&lt;=5,3,IF(E76&lt;=7,5,7))))</f>
      </c>
      <c r="I76">
        <f>IF(E76=1,1,IF(E76&lt;=3,3,IF(E76&lt;=5,5,IF(E76&lt;=7,7,9))))</f>
      </c>
      <c r="J76">
        <f>IF(E76=1,1,IF(E76&lt;=3,5,IF(E76&lt;=5,7,IF(E76&lt;=7,9,9))))</f>
      </c>
      <c r="K76">
        <f>IF(D76&gt;0,1/J76,H76)</f>
      </c>
      <c r="L76">
        <f>IF(D76&gt;0,1/I76,I76)</f>
      </c>
      <c r="M76">
        <f>IF(D76&gt;0,1/H76,J76)</f>
      </c>
    </row>
    <row r="77">
      <c r="A77">
        <v>17</v>
      </c>
      <c r="B77" t="str">
        <v>CP3</v>
      </c>
      <c r="C77" t="str">
        <v>CP5</v>
      </c>
      <c r="D77">
        <v>0</v>
      </c>
      <c r="E77">
        <f>ABS(D77)+1</f>
      </c>
      <c r="F77">
        <f>E77</f>
      </c>
      <c r="G77">
        <f>IF(D77&lt;0,"← "&amp;B77,IF(D77&gt;0,"→ "&amp;C77,"= Sama Penting"))</f>
      </c>
      <c r="H77">
        <f>IF(E77=1,1,IF(E77&lt;=3,1,IF(E77&lt;=5,3,IF(E77&lt;=7,5,7))))</f>
      </c>
      <c r="I77">
        <f>IF(E77=1,1,IF(E77&lt;=3,3,IF(E77&lt;=5,5,IF(E77&lt;=7,7,9))))</f>
      </c>
      <c r="J77">
        <f>IF(E77=1,1,IF(E77&lt;=3,5,IF(E77&lt;=5,7,IF(E77&lt;=7,9,9))))</f>
      </c>
      <c r="K77">
        <f>IF(D77&gt;0,1/J77,H77)</f>
      </c>
      <c r="L77">
        <f>IF(D77&gt;0,1/I77,I77)</f>
      </c>
      <c r="M77">
        <f>IF(D77&gt;0,1/H77,J77)</f>
      </c>
    </row>
    <row r="78">
      <c r="A78">
        <v>18</v>
      </c>
      <c r="B78" t="str">
        <v>CP3</v>
      </c>
      <c r="C78" t="str">
        <v>CP6</v>
      </c>
      <c r="D78">
        <v>0</v>
      </c>
      <c r="E78">
        <f>ABS(D78)+1</f>
      </c>
      <c r="F78">
        <f>E78</f>
      </c>
      <c r="G78">
        <f>IF(D78&lt;0,"← "&amp;B78,IF(D78&gt;0,"→ "&amp;C78,"= Sama Penting"))</f>
      </c>
      <c r="H78">
        <f>IF(E78=1,1,IF(E78&lt;=3,1,IF(E78&lt;=5,3,IF(E78&lt;=7,5,7))))</f>
      </c>
      <c r="I78">
        <f>IF(E78=1,1,IF(E78&lt;=3,3,IF(E78&lt;=5,5,IF(E78&lt;=7,7,9))))</f>
      </c>
      <c r="J78">
        <f>IF(E78=1,1,IF(E78&lt;=3,5,IF(E78&lt;=5,7,IF(E78&lt;=7,9,9))))</f>
      </c>
      <c r="K78">
        <f>IF(D78&gt;0,1/J78,H78)</f>
      </c>
      <c r="L78">
        <f>IF(D78&gt;0,1/I78,I78)</f>
      </c>
      <c r="M78">
        <f>IF(D78&gt;0,1/H78,J78)</f>
      </c>
    </row>
    <row r="79">
      <c r="A79">
        <v>19</v>
      </c>
      <c r="B79" t="str">
        <v>CP3</v>
      </c>
      <c r="C79" t="str">
        <v>CP7</v>
      </c>
      <c r="D79">
        <v>0</v>
      </c>
      <c r="E79">
        <f>ABS(D79)+1</f>
      </c>
      <c r="F79">
        <f>E79</f>
      </c>
      <c r="G79">
        <f>IF(D79&lt;0,"← "&amp;B79,IF(D79&gt;0,"→ "&amp;C79,"= Sama Penting"))</f>
      </c>
      <c r="H79">
        <f>IF(E79=1,1,IF(E79&lt;=3,1,IF(E79&lt;=5,3,IF(E79&lt;=7,5,7))))</f>
      </c>
      <c r="I79">
        <f>IF(E79=1,1,IF(E79&lt;=3,3,IF(E79&lt;=5,5,IF(E79&lt;=7,7,9))))</f>
      </c>
      <c r="J79">
        <f>IF(E79=1,1,IF(E79&lt;=3,5,IF(E79&lt;=5,7,IF(E79&lt;=7,9,9))))</f>
      </c>
      <c r="K79">
        <f>IF(D79&gt;0,1/J79,H79)</f>
      </c>
      <c r="L79">
        <f>IF(D79&gt;0,1/I79,I79)</f>
      </c>
      <c r="M79">
        <f>IF(D79&gt;0,1/H79,J79)</f>
      </c>
    </row>
    <row r="80">
      <c r="A80">
        <v>20</v>
      </c>
      <c r="B80" t="str">
        <v>CP3</v>
      </c>
      <c r="C80" t="str">
        <v>CP8</v>
      </c>
      <c r="D80">
        <v>0</v>
      </c>
      <c r="E80">
        <f>ABS(D80)+1</f>
      </c>
      <c r="F80">
        <f>E80</f>
      </c>
      <c r="G80">
        <f>IF(D80&lt;0,"← "&amp;B80,IF(D80&gt;0,"→ "&amp;C80,"= Sama Penting"))</f>
      </c>
      <c r="H80">
        <f>IF(E80=1,1,IF(E80&lt;=3,1,IF(E80&lt;=5,3,IF(E80&lt;=7,5,7))))</f>
      </c>
      <c r="I80">
        <f>IF(E80=1,1,IF(E80&lt;=3,3,IF(E80&lt;=5,5,IF(E80&lt;=7,7,9))))</f>
      </c>
      <c r="J80">
        <f>IF(E80=1,1,IF(E80&lt;=3,5,IF(E80&lt;=5,7,IF(E80&lt;=7,9,9))))</f>
      </c>
      <c r="K80">
        <f>IF(D80&gt;0,1/J80,H80)</f>
      </c>
      <c r="L80">
        <f>IF(D80&gt;0,1/I80,I80)</f>
      </c>
      <c r="M80">
        <f>IF(D80&gt;0,1/H80,J80)</f>
      </c>
    </row>
    <row r="81">
      <c r="A81">
        <v>21</v>
      </c>
      <c r="B81" t="str">
        <v>CP3</v>
      </c>
      <c r="C81" t="str">
        <v>CP9</v>
      </c>
      <c r="D81">
        <v>0</v>
      </c>
      <c r="E81">
        <f>ABS(D81)+1</f>
      </c>
      <c r="F81">
        <f>E81</f>
      </c>
      <c r="G81">
        <f>IF(D81&lt;0,"← "&amp;B81,IF(D81&gt;0,"→ "&amp;C81,"= Sama Penting"))</f>
      </c>
      <c r="H81">
        <f>IF(E81=1,1,IF(E81&lt;=3,1,IF(E81&lt;=5,3,IF(E81&lt;=7,5,7))))</f>
      </c>
      <c r="I81">
        <f>IF(E81=1,1,IF(E81&lt;=3,3,IF(E81&lt;=5,5,IF(E81&lt;=7,7,9))))</f>
      </c>
      <c r="J81">
        <f>IF(E81=1,1,IF(E81&lt;=3,5,IF(E81&lt;=5,7,IF(E81&lt;=7,9,9))))</f>
      </c>
      <c r="K81">
        <f>IF(D81&gt;0,1/J81,H81)</f>
      </c>
      <c r="L81">
        <f>IF(D81&gt;0,1/I81,I81)</f>
      </c>
      <c r="M81">
        <f>IF(D81&gt;0,1/H81,J81)</f>
      </c>
    </row>
    <row r="82">
      <c r="A82">
        <v>22</v>
      </c>
      <c r="B82" t="str">
        <v>CP4</v>
      </c>
      <c r="C82" t="str">
        <v>CP5</v>
      </c>
      <c r="D82">
        <v>0</v>
      </c>
      <c r="E82">
        <f>ABS(D82)+1</f>
      </c>
      <c r="F82">
        <f>E82</f>
      </c>
      <c r="G82">
        <f>IF(D82&lt;0,"← "&amp;B82,IF(D82&gt;0,"→ "&amp;C82,"= Sama Penting"))</f>
      </c>
      <c r="H82">
        <f>IF(E82=1,1,IF(E82&lt;=3,1,IF(E82&lt;=5,3,IF(E82&lt;=7,5,7))))</f>
      </c>
      <c r="I82">
        <f>IF(E82=1,1,IF(E82&lt;=3,3,IF(E82&lt;=5,5,IF(E82&lt;=7,7,9))))</f>
      </c>
      <c r="J82">
        <f>IF(E82=1,1,IF(E82&lt;=3,5,IF(E82&lt;=5,7,IF(E82&lt;=7,9,9))))</f>
      </c>
      <c r="K82">
        <f>IF(D82&gt;0,1/J82,H82)</f>
      </c>
      <c r="L82">
        <f>IF(D82&gt;0,1/I82,I82)</f>
      </c>
      <c r="M82">
        <f>IF(D82&gt;0,1/H82,J82)</f>
      </c>
    </row>
    <row r="83">
      <c r="A83">
        <v>23</v>
      </c>
      <c r="B83" t="str">
        <v>CP4</v>
      </c>
      <c r="C83" t="str">
        <v>CP6</v>
      </c>
      <c r="D83">
        <v>0</v>
      </c>
      <c r="E83">
        <f>ABS(D83)+1</f>
      </c>
      <c r="F83">
        <f>E83</f>
      </c>
      <c r="G83">
        <f>IF(D83&lt;0,"← "&amp;B83,IF(D83&gt;0,"→ "&amp;C83,"= Sama Penting"))</f>
      </c>
      <c r="H83">
        <f>IF(E83=1,1,IF(E83&lt;=3,1,IF(E83&lt;=5,3,IF(E83&lt;=7,5,7))))</f>
      </c>
      <c r="I83">
        <f>IF(E83=1,1,IF(E83&lt;=3,3,IF(E83&lt;=5,5,IF(E83&lt;=7,7,9))))</f>
      </c>
      <c r="J83">
        <f>IF(E83=1,1,IF(E83&lt;=3,5,IF(E83&lt;=5,7,IF(E83&lt;=7,9,9))))</f>
      </c>
      <c r="K83">
        <f>IF(D83&gt;0,1/J83,H83)</f>
      </c>
      <c r="L83">
        <f>IF(D83&gt;0,1/I83,I83)</f>
      </c>
      <c r="M83">
        <f>IF(D83&gt;0,1/H83,J83)</f>
      </c>
    </row>
    <row r="84">
      <c r="A84">
        <v>24</v>
      </c>
      <c r="B84" t="str">
        <v>CP4</v>
      </c>
      <c r="C84" t="str">
        <v>CP7</v>
      </c>
      <c r="D84">
        <v>0</v>
      </c>
      <c r="E84">
        <f>ABS(D84)+1</f>
      </c>
      <c r="F84">
        <f>E84</f>
      </c>
      <c r="G84">
        <f>IF(D84&lt;0,"← "&amp;B84,IF(D84&gt;0,"→ "&amp;C84,"= Sama Penting"))</f>
      </c>
      <c r="H84">
        <f>IF(E84=1,1,IF(E84&lt;=3,1,IF(E84&lt;=5,3,IF(E84&lt;=7,5,7))))</f>
      </c>
      <c r="I84">
        <f>IF(E84=1,1,IF(E84&lt;=3,3,IF(E84&lt;=5,5,IF(E84&lt;=7,7,9))))</f>
      </c>
      <c r="J84">
        <f>IF(E84=1,1,IF(E84&lt;=3,5,IF(E84&lt;=5,7,IF(E84&lt;=7,9,9))))</f>
      </c>
      <c r="K84">
        <f>IF(D84&gt;0,1/J84,H84)</f>
      </c>
      <c r="L84">
        <f>IF(D84&gt;0,1/I84,I84)</f>
      </c>
      <c r="M84">
        <f>IF(D84&gt;0,1/H84,J84)</f>
      </c>
    </row>
    <row r="85">
      <c r="A85">
        <v>25</v>
      </c>
      <c r="B85" t="str">
        <v>CP4</v>
      </c>
      <c r="C85" t="str">
        <v>CP8</v>
      </c>
      <c r="D85">
        <v>0</v>
      </c>
      <c r="E85">
        <f>ABS(D85)+1</f>
      </c>
      <c r="F85">
        <f>E85</f>
      </c>
      <c r="G85">
        <f>IF(D85&lt;0,"← "&amp;B85,IF(D85&gt;0,"→ "&amp;C85,"= Sama Penting"))</f>
      </c>
      <c r="H85">
        <f>IF(E85=1,1,IF(E85&lt;=3,1,IF(E85&lt;=5,3,IF(E85&lt;=7,5,7))))</f>
      </c>
      <c r="I85">
        <f>IF(E85=1,1,IF(E85&lt;=3,3,IF(E85&lt;=5,5,IF(E85&lt;=7,7,9))))</f>
      </c>
      <c r="J85">
        <f>IF(E85=1,1,IF(E85&lt;=3,5,IF(E85&lt;=5,7,IF(E85&lt;=7,9,9))))</f>
      </c>
      <c r="K85">
        <f>IF(D85&gt;0,1/J85,H85)</f>
      </c>
      <c r="L85">
        <f>IF(D85&gt;0,1/I85,I85)</f>
      </c>
      <c r="M85">
        <f>IF(D85&gt;0,1/H85,J85)</f>
      </c>
    </row>
    <row r="86">
      <c r="A86">
        <v>26</v>
      </c>
      <c r="B86" t="str">
        <v>CP4</v>
      </c>
      <c r="C86" t="str">
        <v>CP9</v>
      </c>
      <c r="D86">
        <v>0</v>
      </c>
      <c r="E86">
        <f>ABS(D86)+1</f>
      </c>
      <c r="F86">
        <f>E86</f>
      </c>
      <c r="G86">
        <f>IF(D86&lt;0,"← "&amp;B86,IF(D86&gt;0,"→ "&amp;C86,"= Sama Penting"))</f>
      </c>
      <c r="H86">
        <f>IF(E86=1,1,IF(E86&lt;=3,1,IF(E86&lt;=5,3,IF(E86&lt;=7,5,7))))</f>
      </c>
      <c r="I86">
        <f>IF(E86=1,1,IF(E86&lt;=3,3,IF(E86&lt;=5,5,IF(E86&lt;=7,7,9))))</f>
      </c>
      <c r="J86">
        <f>IF(E86=1,1,IF(E86&lt;=3,5,IF(E86&lt;=5,7,IF(E86&lt;=7,9,9))))</f>
      </c>
      <c r="K86">
        <f>IF(D86&gt;0,1/J86,H86)</f>
      </c>
      <c r="L86">
        <f>IF(D86&gt;0,1/I86,I86)</f>
      </c>
      <c r="M86">
        <f>IF(D86&gt;0,1/H86,J86)</f>
      </c>
    </row>
    <row r="87">
      <c r="A87">
        <v>27</v>
      </c>
      <c r="B87" t="str">
        <v>CP5</v>
      </c>
      <c r="C87" t="str">
        <v>CP6</v>
      </c>
      <c r="D87">
        <v>0</v>
      </c>
      <c r="E87">
        <f>ABS(D87)+1</f>
      </c>
      <c r="F87">
        <f>E87</f>
      </c>
      <c r="G87">
        <f>IF(D87&lt;0,"← "&amp;B87,IF(D87&gt;0,"→ "&amp;C87,"= Sama Penting"))</f>
      </c>
      <c r="H87">
        <f>IF(E87=1,1,IF(E87&lt;=3,1,IF(E87&lt;=5,3,IF(E87&lt;=7,5,7))))</f>
      </c>
      <c r="I87">
        <f>IF(E87=1,1,IF(E87&lt;=3,3,IF(E87&lt;=5,5,IF(E87&lt;=7,7,9))))</f>
      </c>
      <c r="J87">
        <f>IF(E87=1,1,IF(E87&lt;=3,5,IF(E87&lt;=5,7,IF(E87&lt;=7,9,9))))</f>
      </c>
      <c r="K87">
        <f>IF(D87&gt;0,1/J87,H87)</f>
      </c>
      <c r="L87">
        <f>IF(D87&gt;0,1/I87,I87)</f>
      </c>
      <c r="M87">
        <f>IF(D87&gt;0,1/H87,J87)</f>
      </c>
    </row>
    <row r="88">
      <c r="A88">
        <v>28</v>
      </c>
      <c r="B88" t="str">
        <v>CP5</v>
      </c>
      <c r="C88" t="str">
        <v>CP7</v>
      </c>
      <c r="D88">
        <v>0</v>
      </c>
      <c r="E88">
        <f>ABS(D88)+1</f>
      </c>
      <c r="F88">
        <f>E88</f>
      </c>
      <c r="G88">
        <f>IF(D88&lt;0,"← "&amp;B88,IF(D88&gt;0,"→ "&amp;C88,"= Sama Penting"))</f>
      </c>
      <c r="H88">
        <f>IF(E88=1,1,IF(E88&lt;=3,1,IF(E88&lt;=5,3,IF(E88&lt;=7,5,7))))</f>
      </c>
      <c r="I88">
        <f>IF(E88=1,1,IF(E88&lt;=3,3,IF(E88&lt;=5,5,IF(E88&lt;=7,7,9))))</f>
      </c>
      <c r="J88">
        <f>IF(E88=1,1,IF(E88&lt;=3,5,IF(E88&lt;=5,7,IF(E88&lt;=7,9,9))))</f>
      </c>
      <c r="K88">
        <f>IF(D88&gt;0,1/J88,H88)</f>
      </c>
      <c r="L88">
        <f>IF(D88&gt;0,1/I88,I88)</f>
      </c>
      <c r="M88">
        <f>IF(D88&gt;0,1/H88,J88)</f>
      </c>
    </row>
    <row r="89">
      <c r="A89">
        <v>29</v>
      </c>
      <c r="B89" t="str">
        <v>CP5</v>
      </c>
      <c r="C89" t="str">
        <v>CP8</v>
      </c>
      <c r="D89">
        <v>0</v>
      </c>
      <c r="E89">
        <f>ABS(D89)+1</f>
      </c>
      <c r="F89">
        <f>E89</f>
      </c>
      <c r="G89">
        <f>IF(D89&lt;0,"← "&amp;B89,IF(D89&gt;0,"→ "&amp;C89,"= Sama Penting"))</f>
      </c>
      <c r="H89">
        <f>IF(E89=1,1,IF(E89&lt;=3,1,IF(E89&lt;=5,3,IF(E89&lt;=7,5,7))))</f>
      </c>
      <c r="I89">
        <f>IF(E89=1,1,IF(E89&lt;=3,3,IF(E89&lt;=5,5,IF(E89&lt;=7,7,9))))</f>
      </c>
      <c r="J89">
        <f>IF(E89=1,1,IF(E89&lt;=3,5,IF(E89&lt;=5,7,IF(E89&lt;=7,9,9))))</f>
      </c>
      <c r="K89">
        <f>IF(D89&gt;0,1/J89,H89)</f>
      </c>
      <c r="L89">
        <f>IF(D89&gt;0,1/I89,I89)</f>
      </c>
      <c r="M89">
        <f>IF(D89&gt;0,1/H89,J89)</f>
      </c>
    </row>
    <row r="90">
      <c r="A90">
        <v>30</v>
      </c>
      <c r="B90" t="str">
        <v>CP5</v>
      </c>
      <c r="C90" t="str">
        <v>CP9</v>
      </c>
      <c r="D90">
        <v>0</v>
      </c>
      <c r="E90">
        <f>ABS(D90)+1</f>
      </c>
      <c r="F90">
        <f>E90</f>
      </c>
      <c r="G90">
        <f>IF(D90&lt;0,"← "&amp;B90,IF(D90&gt;0,"→ "&amp;C90,"= Sama Penting"))</f>
      </c>
      <c r="H90">
        <f>IF(E90=1,1,IF(E90&lt;=3,1,IF(E90&lt;=5,3,IF(E90&lt;=7,5,7))))</f>
      </c>
      <c r="I90">
        <f>IF(E90=1,1,IF(E90&lt;=3,3,IF(E90&lt;=5,5,IF(E90&lt;=7,7,9))))</f>
      </c>
      <c r="J90">
        <f>IF(E90=1,1,IF(E90&lt;=3,5,IF(E90&lt;=5,7,IF(E90&lt;=7,9,9))))</f>
      </c>
      <c r="K90">
        <f>IF(D90&gt;0,1/J90,H90)</f>
      </c>
      <c r="L90">
        <f>IF(D90&gt;0,1/I90,I90)</f>
      </c>
      <c r="M90">
        <f>IF(D90&gt;0,1/H90,J90)</f>
      </c>
    </row>
    <row r="91">
      <c r="A91">
        <v>31</v>
      </c>
      <c r="B91" t="str">
        <v>CP6</v>
      </c>
      <c r="C91" t="str">
        <v>CP7</v>
      </c>
      <c r="D91">
        <v>0</v>
      </c>
      <c r="E91">
        <f>ABS(D91)+1</f>
      </c>
      <c r="F91">
        <f>E91</f>
      </c>
      <c r="G91">
        <f>IF(D91&lt;0,"← "&amp;B91,IF(D91&gt;0,"→ "&amp;C91,"= Sama Penting"))</f>
      </c>
      <c r="H91">
        <f>IF(E91=1,1,IF(E91&lt;=3,1,IF(E91&lt;=5,3,IF(E91&lt;=7,5,7))))</f>
      </c>
      <c r="I91">
        <f>IF(E91=1,1,IF(E91&lt;=3,3,IF(E91&lt;=5,5,IF(E91&lt;=7,7,9))))</f>
      </c>
      <c r="J91">
        <f>IF(E91=1,1,IF(E91&lt;=3,5,IF(E91&lt;=5,7,IF(E91&lt;=7,9,9))))</f>
      </c>
      <c r="K91">
        <f>IF(D91&gt;0,1/J91,H91)</f>
      </c>
      <c r="L91">
        <f>IF(D91&gt;0,1/I91,I91)</f>
      </c>
      <c r="M91">
        <f>IF(D91&gt;0,1/H91,J91)</f>
      </c>
    </row>
    <row r="92">
      <c r="A92">
        <v>32</v>
      </c>
      <c r="B92" t="str">
        <v>CP6</v>
      </c>
      <c r="C92" t="str">
        <v>CP8</v>
      </c>
      <c r="D92">
        <v>0</v>
      </c>
      <c r="E92">
        <f>ABS(D92)+1</f>
      </c>
      <c r="F92">
        <f>E92</f>
      </c>
      <c r="G92">
        <f>IF(D92&lt;0,"← "&amp;B92,IF(D92&gt;0,"→ "&amp;C92,"= Sama Penting"))</f>
      </c>
      <c r="H92">
        <f>IF(E92=1,1,IF(E92&lt;=3,1,IF(E92&lt;=5,3,IF(E92&lt;=7,5,7))))</f>
      </c>
      <c r="I92">
        <f>IF(E92=1,1,IF(E92&lt;=3,3,IF(E92&lt;=5,5,IF(E92&lt;=7,7,9))))</f>
      </c>
      <c r="J92">
        <f>IF(E92=1,1,IF(E92&lt;=3,5,IF(E92&lt;=5,7,IF(E92&lt;=7,9,9))))</f>
      </c>
      <c r="K92">
        <f>IF(D92&gt;0,1/J92,H92)</f>
      </c>
      <c r="L92">
        <f>IF(D92&gt;0,1/I92,I92)</f>
      </c>
      <c r="M92">
        <f>IF(D92&gt;0,1/H92,J92)</f>
      </c>
    </row>
    <row r="93">
      <c r="A93">
        <v>33</v>
      </c>
      <c r="B93" t="str">
        <v>CP6</v>
      </c>
      <c r="C93" t="str">
        <v>CP9</v>
      </c>
      <c r="D93">
        <v>0</v>
      </c>
      <c r="E93">
        <f>ABS(D93)+1</f>
      </c>
      <c r="F93">
        <f>E93</f>
      </c>
      <c r="G93">
        <f>IF(D93&lt;0,"← "&amp;B93,IF(D93&gt;0,"→ "&amp;C93,"= Sama Penting"))</f>
      </c>
      <c r="H93">
        <f>IF(E93=1,1,IF(E93&lt;=3,1,IF(E93&lt;=5,3,IF(E93&lt;=7,5,7))))</f>
      </c>
      <c r="I93">
        <f>IF(E93=1,1,IF(E93&lt;=3,3,IF(E93&lt;=5,5,IF(E93&lt;=7,7,9))))</f>
      </c>
      <c r="J93">
        <f>IF(E93=1,1,IF(E93&lt;=3,5,IF(E93&lt;=5,7,IF(E93&lt;=7,9,9))))</f>
      </c>
      <c r="K93">
        <f>IF(D93&gt;0,1/J93,H93)</f>
      </c>
      <c r="L93">
        <f>IF(D93&gt;0,1/I93,I93)</f>
      </c>
      <c r="M93">
        <f>IF(D93&gt;0,1/H93,J93)</f>
      </c>
    </row>
    <row r="94">
      <c r="A94">
        <v>34</v>
      </c>
      <c r="B94" t="str">
        <v>CP7</v>
      </c>
      <c r="C94" t="str">
        <v>CP8</v>
      </c>
      <c r="D94">
        <v>0</v>
      </c>
      <c r="E94">
        <f>ABS(D94)+1</f>
      </c>
      <c r="F94">
        <f>E94</f>
      </c>
      <c r="G94">
        <f>IF(D94&lt;0,"← "&amp;B94,IF(D94&gt;0,"→ "&amp;C94,"= Sama Penting"))</f>
      </c>
      <c r="H94">
        <f>IF(E94=1,1,IF(E94&lt;=3,1,IF(E94&lt;=5,3,IF(E94&lt;=7,5,7))))</f>
      </c>
      <c r="I94">
        <f>IF(E94=1,1,IF(E94&lt;=3,3,IF(E94&lt;=5,5,IF(E94&lt;=7,7,9))))</f>
      </c>
      <c r="J94">
        <f>IF(E94=1,1,IF(E94&lt;=3,5,IF(E94&lt;=5,7,IF(E94&lt;=7,9,9))))</f>
      </c>
      <c r="K94">
        <f>IF(D94&gt;0,1/J94,H94)</f>
      </c>
      <c r="L94">
        <f>IF(D94&gt;0,1/I94,I94)</f>
      </c>
      <c r="M94">
        <f>IF(D94&gt;0,1/H94,J94)</f>
      </c>
    </row>
    <row r="95">
      <c r="A95">
        <v>35</v>
      </c>
      <c r="B95" t="str">
        <v>CP7</v>
      </c>
      <c r="C95" t="str">
        <v>CP9</v>
      </c>
      <c r="D95">
        <v>0</v>
      </c>
      <c r="E95">
        <f>ABS(D95)+1</f>
      </c>
      <c r="F95">
        <f>E95</f>
      </c>
      <c r="G95">
        <f>IF(D95&lt;0,"← "&amp;B95,IF(D95&gt;0,"→ "&amp;C95,"= Sama Penting"))</f>
      </c>
      <c r="H95">
        <f>IF(E95=1,1,IF(E95&lt;=3,1,IF(E95&lt;=5,3,IF(E95&lt;=7,5,7))))</f>
      </c>
      <c r="I95">
        <f>IF(E95=1,1,IF(E95&lt;=3,3,IF(E95&lt;=5,5,IF(E95&lt;=7,7,9))))</f>
      </c>
      <c r="J95">
        <f>IF(E95=1,1,IF(E95&lt;=3,5,IF(E95&lt;=5,7,IF(E95&lt;=7,9,9))))</f>
      </c>
      <c r="K95">
        <f>IF(D95&gt;0,1/J95,H95)</f>
      </c>
      <c r="L95">
        <f>IF(D95&gt;0,1/I95,I95)</f>
      </c>
      <c r="M95">
        <f>IF(D95&gt;0,1/H95,J95)</f>
      </c>
    </row>
    <row r="96">
      <c r="A96">
        <v>36</v>
      </c>
      <c r="B96" t="str">
        <v>CP8</v>
      </c>
      <c r="C96" t="str">
        <v>CP9</v>
      </c>
      <c r="D96">
        <v>0</v>
      </c>
      <c r="E96">
        <f>ABS(D96)+1</f>
      </c>
      <c r="F96">
        <f>E96</f>
      </c>
      <c r="G96">
        <f>IF(D96&lt;0,"← "&amp;B96,IF(D96&gt;0,"→ "&amp;C96,"= Sama Penting"))</f>
      </c>
      <c r="H96">
        <f>IF(E96=1,1,IF(E96&lt;=3,1,IF(E96&lt;=5,3,IF(E96&lt;=7,5,7))))</f>
      </c>
      <c r="I96">
        <f>IF(E96=1,1,IF(E96&lt;=3,3,IF(E96&lt;=5,5,IF(E96&lt;=7,7,9))))</f>
      </c>
      <c r="J96">
        <f>IF(E96=1,1,IF(E96&lt;=3,5,IF(E96&lt;=5,7,IF(E96&lt;=7,9,9))))</f>
      </c>
      <c r="K96">
        <f>IF(D96&gt;0,1/J96,H96)</f>
      </c>
      <c r="L96">
        <f>IF(D96&gt;0,1/I96,I96)</f>
      </c>
      <c r="M96">
        <f>IF(D96&gt;0,1/H96,J96)</f>
      </c>
    </row>
    <row r="99">
      <c r="A99" t="str">
        <v>═══ RESPONDEN 3 ═══</v>
      </c>
    </row>
    <row r="100">
      <c r="A100" t="str">
        <v>No</v>
      </c>
      <c r="B100" t="str">
        <v>Kriteria A</v>
      </c>
      <c r="C100" t="str">
        <v>Kriteria B</v>
      </c>
      <c r="D100" t="str">
        <v>Slider (-8..8)</v>
      </c>
      <c r="E100" t="str">
        <v>absVal</v>
      </c>
      <c r="F100" t="str">
        <v>Saaty</v>
      </c>
      <c r="G100" t="str">
        <v>Arah</v>
      </c>
      <c r="H100" t="str">
        <v>l (original)</v>
      </c>
      <c r="I100" t="str">
        <v>m (original)</v>
      </c>
      <c r="J100" t="str">
        <v>u (original)</v>
      </c>
      <c r="K100" t="str">
        <v>TFN l (final)</v>
      </c>
      <c r="L100" t="str">
        <v>TFN m (final)</v>
      </c>
      <c r="M100" t="str">
        <v>TFN u (final)</v>
      </c>
    </row>
    <row r="101">
      <c r="A101">
        <v>1</v>
      </c>
      <c r="B101" t="str">
        <v>CP1</v>
      </c>
      <c r="C101" t="str">
        <v>CP2</v>
      </c>
      <c r="D101">
        <v>0</v>
      </c>
      <c r="E101">
        <f>ABS(D101)+1</f>
      </c>
      <c r="F101">
        <f>E101</f>
      </c>
      <c r="G101">
        <f>IF(D101&lt;0,"← "&amp;B101,IF(D101&gt;0,"→ "&amp;C101,"= Sama Penting"))</f>
      </c>
      <c r="H101">
        <f>IF(E101=1,1,IF(E101&lt;=3,1,IF(E101&lt;=5,3,IF(E101&lt;=7,5,7))))</f>
      </c>
      <c r="I101">
        <f>IF(E101=1,1,IF(E101&lt;=3,3,IF(E101&lt;=5,5,IF(E101&lt;=7,7,9))))</f>
      </c>
      <c r="J101">
        <f>IF(E101=1,1,IF(E101&lt;=3,5,IF(E101&lt;=5,7,IF(E101&lt;=7,9,9))))</f>
      </c>
      <c r="K101">
        <f>IF(D101&gt;0,1/J101,H101)</f>
      </c>
      <c r="L101">
        <f>IF(D101&gt;0,1/I101,I101)</f>
      </c>
      <c r="M101">
        <f>IF(D101&gt;0,1/H101,J101)</f>
      </c>
    </row>
    <row r="102">
      <c r="A102">
        <v>2</v>
      </c>
      <c r="B102" t="str">
        <v>CP1</v>
      </c>
      <c r="C102" t="str">
        <v>CP3</v>
      </c>
      <c r="D102">
        <v>0</v>
      </c>
      <c r="E102">
        <f>ABS(D102)+1</f>
      </c>
      <c r="F102">
        <f>E102</f>
      </c>
      <c r="G102">
        <f>IF(D102&lt;0,"← "&amp;B102,IF(D102&gt;0,"→ "&amp;C102,"= Sama Penting"))</f>
      </c>
      <c r="H102">
        <f>IF(E102=1,1,IF(E102&lt;=3,1,IF(E102&lt;=5,3,IF(E102&lt;=7,5,7))))</f>
      </c>
      <c r="I102">
        <f>IF(E102=1,1,IF(E102&lt;=3,3,IF(E102&lt;=5,5,IF(E102&lt;=7,7,9))))</f>
      </c>
      <c r="J102">
        <f>IF(E102=1,1,IF(E102&lt;=3,5,IF(E102&lt;=5,7,IF(E102&lt;=7,9,9))))</f>
      </c>
      <c r="K102">
        <f>IF(D102&gt;0,1/J102,H102)</f>
      </c>
      <c r="L102">
        <f>IF(D102&gt;0,1/I102,I102)</f>
      </c>
      <c r="M102">
        <f>IF(D102&gt;0,1/H102,J102)</f>
      </c>
    </row>
    <row r="103">
      <c r="A103">
        <v>3</v>
      </c>
      <c r="B103" t="str">
        <v>CP1</v>
      </c>
      <c r="C103" t="str">
        <v>CP4</v>
      </c>
      <c r="D103">
        <v>0</v>
      </c>
      <c r="E103">
        <f>ABS(D103)+1</f>
      </c>
      <c r="F103">
        <f>E103</f>
      </c>
      <c r="G103">
        <f>IF(D103&lt;0,"← "&amp;B103,IF(D103&gt;0,"→ "&amp;C103,"= Sama Penting"))</f>
      </c>
      <c r="H103">
        <f>IF(E103=1,1,IF(E103&lt;=3,1,IF(E103&lt;=5,3,IF(E103&lt;=7,5,7))))</f>
      </c>
      <c r="I103">
        <f>IF(E103=1,1,IF(E103&lt;=3,3,IF(E103&lt;=5,5,IF(E103&lt;=7,7,9))))</f>
      </c>
      <c r="J103">
        <f>IF(E103=1,1,IF(E103&lt;=3,5,IF(E103&lt;=5,7,IF(E103&lt;=7,9,9))))</f>
      </c>
      <c r="K103">
        <f>IF(D103&gt;0,1/J103,H103)</f>
      </c>
      <c r="L103">
        <f>IF(D103&gt;0,1/I103,I103)</f>
      </c>
      <c r="M103">
        <f>IF(D103&gt;0,1/H103,J103)</f>
      </c>
    </row>
    <row r="104">
      <c r="A104">
        <v>4</v>
      </c>
      <c r="B104" t="str">
        <v>CP1</v>
      </c>
      <c r="C104" t="str">
        <v>CP5</v>
      </c>
      <c r="D104">
        <v>0</v>
      </c>
      <c r="E104">
        <f>ABS(D104)+1</f>
      </c>
      <c r="F104">
        <f>E104</f>
      </c>
      <c r="G104">
        <f>IF(D104&lt;0,"← "&amp;B104,IF(D104&gt;0,"→ "&amp;C104,"= Sama Penting"))</f>
      </c>
      <c r="H104">
        <f>IF(E104=1,1,IF(E104&lt;=3,1,IF(E104&lt;=5,3,IF(E104&lt;=7,5,7))))</f>
      </c>
      <c r="I104">
        <f>IF(E104=1,1,IF(E104&lt;=3,3,IF(E104&lt;=5,5,IF(E104&lt;=7,7,9))))</f>
      </c>
      <c r="J104">
        <f>IF(E104=1,1,IF(E104&lt;=3,5,IF(E104&lt;=5,7,IF(E104&lt;=7,9,9))))</f>
      </c>
      <c r="K104">
        <f>IF(D104&gt;0,1/J104,H104)</f>
      </c>
      <c r="L104">
        <f>IF(D104&gt;0,1/I104,I104)</f>
      </c>
      <c r="M104">
        <f>IF(D104&gt;0,1/H104,J104)</f>
      </c>
    </row>
    <row r="105">
      <c r="A105">
        <v>5</v>
      </c>
      <c r="B105" t="str">
        <v>CP1</v>
      </c>
      <c r="C105" t="str">
        <v>CP6</v>
      </c>
      <c r="D105">
        <v>0</v>
      </c>
      <c r="E105">
        <f>ABS(D105)+1</f>
      </c>
      <c r="F105">
        <f>E105</f>
      </c>
      <c r="G105">
        <f>IF(D105&lt;0,"← "&amp;B105,IF(D105&gt;0,"→ "&amp;C105,"= Sama Penting"))</f>
      </c>
      <c r="H105">
        <f>IF(E105=1,1,IF(E105&lt;=3,1,IF(E105&lt;=5,3,IF(E105&lt;=7,5,7))))</f>
      </c>
      <c r="I105">
        <f>IF(E105=1,1,IF(E105&lt;=3,3,IF(E105&lt;=5,5,IF(E105&lt;=7,7,9))))</f>
      </c>
      <c r="J105">
        <f>IF(E105=1,1,IF(E105&lt;=3,5,IF(E105&lt;=5,7,IF(E105&lt;=7,9,9))))</f>
      </c>
      <c r="K105">
        <f>IF(D105&gt;0,1/J105,H105)</f>
      </c>
      <c r="L105">
        <f>IF(D105&gt;0,1/I105,I105)</f>
      </c>
      <c r="M105">
        <f>IF(D105&gt;0,1/H105,J105)</f>
      </c>
    </row>
    <row r="106">
      <c r="A106">
        <v>6</v>
      </c>
      <c r="B106" t="str">
        <v>CP1</v>
      </c>
      <c r="C106" t="str">
        <v>CP7</v>
      </c>
      <c r="D106">
        <v>0</v>
      </c>
      <c r="E106">
        <f>ABS(D106)+1</f>
      </c>
      <c r="F106">
        <f>E106</f>
      </c>
      <c r="G106">
        <f>IF(D106&lt;0,"← "&amp;B106,IF(D106&gt;0,"→ "&amp;C106,"= Sama Penting"))</f>
      </c>
      <c r="H106">
        <f>IF(E106=1,1,IF(E106&lt;=3,1,IF(E106&lt;=5,3,IF(E106&lt;=7,5,7))))</f>
      </c>
      <c r="I106">
        <f>IF(E106=1,1,IF(E106&lt;=3,3,IF(E106&lt;=5,5,IF(E106&lt;=7,7,9))))</f>
      </c>
      <c r="J106">
        <f>IF(E106=1,1,IF(E106&lt;=3,5,IF(E106&lt;=5,7,IF(E106&lt;=7,9,9))))</f>
      </c>
      <c r="K106">
        <f>IF(D106&gt;0,1/J106,H106)</f>
      </c>
      <c r="L106">
        <f>IF(D106&gt;0,1/I106,I106)</f>
      </c>
      <c r="M106">
        <f>IF(D106&gt;0,1/H106,J106)</f>
      </c>
    </row>
    <row r="107">
      <c r="A107">
        <v>7</v>
      </c>
      <c r="B107" t="str">
        <v>CP1</v>
      </c>
      <c r="C107" t="str">
        <v>CP8</v>
      </c>
      <c r="D107">
        <v>0</v>
      </c>
      <c r="E107">
        <f>ABS(D107)+1</f>
      </c>
      <c r="F107">
        <f>E107</f>
      </c>
      <c r="G107">
        <f>IF(D107&lt;0,"← "&amp;B107,IF(D107&gt;0,"→ "&amp;C107,"= Sama Penting"))</f>
      </c>
      <c r="H107">
        <f>IF(E107=1,1,IF(E107&lt;=3,1,IF(E107&lt;=5,3,IF(E107&lt;=7,5,7))))</f>
      </c>
      <c r="I107">
        <f>IF(E107=1,1,IF(E107&lt;=3,3,IF(E107&lt;=5,5,IF(E107&lt;=7,7,9))))</f>
      </c>
      <c r="J107">
        <f>IF(E107=1,1,IF(E107&lt;=3,5,IF(E107&lt;=5,7,IF(E107&lt;=7,9,9))))</f>
      </c>
      <c r="K107">
        <f>IF(D107&gt;0,1/J107,H107)</f>
      </c>
      <c r="L107">
        <f>IF(D107&gt;0,1/I107,I107)</f>
      </c>
      <c r="M107">
        <f>IF(D107&gt;0,1/H107,J107)</f>
      </c>
    </row>
    <row r="108">
      <c r="A108">
        <v>8</v>
      </c>
      <c r="B108" t="str">
        <v>CP1</v>
      </c>
      <c r="C108" t="str">
        <v>CP9</v>
      </c>
      <c r="D108">
        <v>0</v>
      </c>
      <c r="E108">
        <f>ABS(D108)+1</f>
      </c>
      <c r="F108">
        <f>E108</f>
      </c>
      <c r="G108">
        <f>IF(D108&lt;0,"← "&amp;B108,IF(D108&gt;0,"→ "&amp;C108,"= Sama Penting"))</f>
      </c>
      <c r="H108">
        <f>IF(E108=1,1,IF(E108&lt;=3,1,IF(E108&lt;=5,3,IF(E108&lt;=7,5,7))))</f>
      </c>
      <c r="I108">
        <f>IF(E108=1,1,IF(E108&lt;=3,3,IF(E108&lt;=5,5,IF(E108&lt;=7,7,9))))</f>
      </c>
      <c r="J108">
        <f>IF(E108=1,1,IF(E108&lt;=3,5,IF(E108&lt;=5,7,IF(E108&lt;=7,9,9))))</f>
      </c>
      <c r="K108">
        <f>IF(D108&gt;0,1/J108,H108)</f>
      </c>
      <c r="L108">
        <f>IF(D108&gt;0,1/I108,I108)</f>
      </c>
      <c r="M108">
        <f>IF(D108&gt;0,1/H108,J108)</f>
      </c>
    </row>
    <row r="109">
      <c r="A109">
        <v>9</v>
      </c>
      <c r="B109" t="str">
        <v>CP2</v>
      </c>
      <c r="C109" t="str">
        <v>CP3</v>
      </c>
      <c r="D109">
        <v>0</v>
      </c>
      <c r="E109">
        <f>ABS(D109)+1</f>
      </c>
      <c r="F109">
        <f>E109</f>
      </c>
      <c r="G109">
        <f>IF(D109&lt;0,"← "&amp;B109,IF(D109&gt;0,"→ "&amp;C109,"= Sama Penting"))</f>
      </c>
      <c r="H109">
        <f>IF(E109=1,1,IF(E109&lt;=3,1,IF(E109&lt;=5,3,IF(E109&lt;=7,5,7))))</f>
      </c>
      <c r="I109">
        <f>IF(E109=1,1,IF(E109&lt;=3,3,IF(E109&lt;=5,5,IF(E109&lt;=7,7,9))))</f>
      </c>
      <c r="J109">
        <f>IF(E109=1,1,IF(E109&lt;=3,5,IF(E109&lt;=5,7,IF(E109&lt;=7,9,9))))</f>
      </c>
      <c r="K109">
        <f>IF(D109&gt;0,1/J109,H109)</f>
      </c>
      <c r="L109">
        <f>IF(D109&gt;0,1/I109,I109)</f>
      </c>
      <c r="M109">
        <f>IF(D109&gt;0,1/H109,J109)</f>
      </c>
    </row>
    <row r="110">
      <c r="A110">
        <v>10</v>
      </c>
      <c r="B110" t="str">
        <v>CP2</v>
      </c>
      <c r="C110" t="str">
        <v>CP4</v>
      </c>
      <c r="D110">
        <v>0</v>
      </c>
      <c r="E110">
        <f>ABS(D110)+1</f>
      </c>
      <c r="F110">
        <f>E110</f>
      </c>
      <c r="G110">
        <f>IF(D110&lt;0,"← "&amp;B110,IF(D110&gt;0,"→ "&amp;C110,"= Sama Penting"))</f>
      </c>
      <c r="H110">
        <f>IF(E110=1,1,IF(E110&lt;=3,1,IF(E110&lt;=5,3,IF(E110&lt;=7,5,7))))</f>
      </c>
      <c r="I110">
        <f>IF(E110=1,1,IF(E110&lt;=3,3,IF(E110&lt;=5,5,IF(E110&lt;=7,7,9))))</f>
      </c>
      <c r="J110">
        <f>IF(E110=1,1,IF(E110&lt;=3,5,IF(E110&lt;=5,7,IF(E110&lt;=7,9,9))))</f>
      </c>
      <c r="K110">
        <f>IF(D110&gt;0,1/J110,H110)</f>
      </c>
      <c r="L110">
        <f>IF(D110&gt;0,1/I110,I110)</f>
      </c>
      <c r="M110">
        <f>IF(D110&gt;0,1/H110,J110)</f>
      </c>
    </row>
    <row r="111">
      <c r="A111">
        <v>11</v>
      </c>
      <c r="B111" t="str">
        <v>CP2</v>
      </c>
      <c r="C111" t="str">
        <v>CP5</v>
      </c>
      <c r="D111">
        <v>0</v>
      </c>
      <c r="E111">
        <f>ABS(D111)+1</f>
      </c>
      <c r="F111">
        <f>E111</f>
      </c>
      <c r="G111">
        <f>IF(D111&lt;0,"← "&amp;B111,IF(D111&gt;0,"→ "&amp;C111,"= Sama Penting"))</f>
      </c>
      <c r="H111">
        <f>IF(E111=1,1,IF(E111&lt;=3,1,IF(E111&lt;=5,3,IF(E111&lt;=7,5,7))))</f>
      </c>
      <c r="I111">
        <f>IF(E111=1,1,IF(E111&lt;=3,3,IF(E111&lt;=5,5,IF(E111&lt;=7,7,9))))</f>
      </c>
      <c r="J111">
        <f>IF(E111=1,1,IF(E111&lt;=3,5,IF(E111&lt;=5,7,IF(E111&lt;=7,9,9))))</f>
      </c>
      <c r="K111">
        <f>IF(D111&gt;0,1/J111,H111)</f>
      </c>
      <c r="L111">
        <f>IF(D111&gt;0,1/I111,I111)</f>
      </c>
      <c r="M111">
        <f>IF(D111&gt;0,1/H111,J111)</f>
      </c>
    </row>
    <row r="112">
      <c r="A112">
        <v>12</v>
      </c>
      <c r="B112" t="str">
        <v>CP2</v>
      </c>
      <c r="C112" t="str">
        <v>CP6</v>
      </c>
      <c r="D112">
        <v>0</v>
      </c>
      <c r="E112">
        <f>ABS(D112)+1</f>
      </c>
      <c r="F112">
        <f>E112</f>
      </c>
      <c r="G112">
        <f>IF(D112&lt;0,"← "&amp;B112,IF(D112&gt;0,"→ "&amp;C112,"= Sama Penting"))</f>
      </c>
      <c r="H112">
        <f>IF(E112=1,1,IF(E112&lt;=3,1,IF(E112&lt;=5,3,IF(E112&lt;=7,5,7))))</f>
      </c>
      <c r="I112">
        <f>IF(E112=1,1,IF(E112&lt;=3,3,IF(E112&lt;=5,5,IF(E112&lt;=7,7,9))))</f>
      </c>
      <c r="J112">
        <f>IF(E112=1,1,IF(E112&lt;=3,5,IF(E112&lt;=5,7,IF(E112&lt;=7,9,9))))</f>
      </c>
      <c r="K112">
        <f>IF(D112&gt;0,1/J112,H112)</f>
      </c>
      <c r="L112">
        <f>IF(D112&gt;0,1/I112,I112)</f>
      </c>
      <c r="M112">
        <f>IF(D112&gt;0,1/H112,J112)</f>
      </c>
    </row>
    <row r="113">
      <c r="A113">
        <v>13</v>
      </c>
      <c r="B113" t="str">
        <v>CP2</v>
      </c>
      <c r="C113" t="str">
        <v>CP7</v>
      </c>
      <c r="D113">
        <v>0</v>
      </c>
      <c r="E113">
        <f>ABS(D113)+1</f>
      </c>
      <c r="F113">
        <f>E113</f>
      </c>
      <c r="G113">
        <f>IF(D113&lt;0,"← "&amp;B113,IF(D113&gt;0,"→ "&amp;C113,"= Sama Penting"))</f>
      </c>
      <c r="H113">
        <f>IF(E113=1,1,IF(E113&lt;=3,1,IF(E113&lt;=5,3,IF(E113&lt;=7,5,7))))</f>
      </c>
      <c r="I113">
        <f>IF(E113=1,1,IF(E113&lt;=3,3,IF(E113&lt;=5,5,IF(E113&lt;=7,7,9))))</f>
      </c>
      <c r="J113">
        <f>IF(E113=1,1,IF(E113&lt;=3,5,IF(E113&lt;=5,7,IF(E113&lt;=7,9,9))))</f>
      </c>
      <c r="K113">
        <f>IF(D113&gt;0,1/J113,H113)</f>
      </c>
      <c r="L113">
        <f>IF(D113&gt;0,1/I113,I113)</f>
      </c>
      <c r="M113">
        <f>IF(D113&gt;0,1/H113,J113)</f>
      </c>
    </row>
    <row r="114">
      <c r="A114">
        <v>14</v>
      </c>
      <c r="B114" t="str">
        <v>CP2</v>
      </c>
      <c r="C114" t="str">
        <v>CP8</v>
      </c>
      <c r="D114">
        <v>0</v>
      </c>
      <c r="E114">
        <f>ABS(D114)+1</f>
      </c>
      <c r="F114">
        <f>E114</f>
      </c>
      <c r="G114">
        <f>IF(D114&lt;0,"← "&amp;B114,IF(D114&gt;0,"→ "&amp;C114,"= Sama Penting"))</f>
      </c>
      <c r="H114">
        <f>IF(E114=1,1,IF(E114&lt;=3,1,IF(E114&lt;=5,3,IF(E114&lt;=7,5,7))))</f>
      </c>
      <c r="I114">
        <f>IF(E114=1,1,IF(E114&lt;=3,3,IF(E114&lt;=5,5,IF(E114&lt;=7,7,9))))</f>
      </c>
      <c r="J114">
        <f>IF(E114=1,1,IF(E114&lt;=3,5,IF(E114&lt;=5,7,IF(E114&lt;=7,9,9))))</f>
      </c>
      <c r="K114">
        <f>IF(D114&gt;0,1/J114,H114)</f>
      </c>
      <c r="L114">
        <f>IF(D114&gt;0,1/I114,I114)</f>
      </c>
      <c r="M114">
        <f>IF(D114&gt;0,1/H114,J114)</f>
      </c>
    </row>
    <row r="115">
      <c r="A115">
        <v>15</v>
      </c>
      <c r="B115" t="str">
        <v>CP2</v>
      </c>
      <c r="C115" t="str">
        <v>CP9</v>
      </c>
      <c r="D115">
        <v>0</v>
      </c>
      <c r="E115">
        <f>ABS(D115)+1</f>
      </c>
      <c r="F115">
        <f>E115</f>
      </c>
      <c r="G115">
        <f>IF(D115&lt;0,"← "&amp;B115,IF(D115&gt;0,"→ "&amp;C115,"= Sama Penting"))</f>
      </c>
      <c r="H115">
        <f>IF(E115=1,1,IF(E115&lt;=3,1,IF(E115&lt;=5,3,IF(E115&lt;=7,5,7))))</f>
      </c>
      <c r="I115">
        <f>IF(E115=1,1,IF(E115&lt;=3,3,IF(E115&lt;=5,5,IF(E115&lt;=7,7,9))))</f>
      </c>
      <c r="J115">
        <f>IF(E115=1,1,IF(E115&lt;=3,5,IF(E115&lt;=5,7,IF(E115&lt;=7,9,9))))</f>
      </c>
      <c r="K115">
        <f>IF(D115&gt;0,1/J115,H115)</f>
      </c>
      <c r="L115">
        <f>IF(D115&gt;0,1/I115,I115)</f>
      </c>
      <c r="M115">
        <f>IF(D115&gt;0,1/H115,J115)</f>
      </c>
    </row>
    <row r="116">
      <c r="A116">
        <v>16</v>
      </c>
      <c r="B116" t="str">
        <v>CP3</v>
      </c>
      <c r="C116" t="str">
        <v>CP4</v>
      </c>
      <c r="D116">
        <v>0</v>
      </c>
      <c r="E116">
        <f>ABS(D116)+1</f>
      </c>
      <c r="F116">
        <f>E116</f>
      </c>
      <c r="G116">
        <f>IF(D116&lt;0,"← "&amp;B116,IF(D116&gt;0,"→ "&amp;C116,"= Sama Penting"))</f>
      </c>
      <c r="H116">
        <f>IF(E116=1,1,IF(E116&lt;=3,1,IF(E116&lt;=5,3,IF(E116&lt;=7,5,7))))</f>
      </c>
      <c r="I116">
        <f>IF(E116=1,1,IF(E116&lt;=3,3,IF(E116&lt;=5,5,IF(E116&lt;=7,7,9))))</f>
      </c>
      <c r="J116">
        <f>IF(E116=1,1,IF(E116&lt;=3,5,IF(E116&lt;=5,7,IF(E116&lt;=7,9,9))))</f>
      </c>
      <c r="K116">
        <f>IF(D116&gt;0,1/J116,H116)</f>
      </c>
      <c r="L116">
        <f>IF(D116&gt;0,1/I116,I116)</f>
      </c>
      <c r="M116">
        <f>IF(D116&gt;0,1/H116,J116)</f>
      </c>
    </row>
    <row r="117">
      <c r="A117">
        <v>17</v>
      </c>
      <c r="B117" t="str">
        <v>CP3</v>
      </c>
      <c r="C117" t="str">
        <v>CP5</v>
      </c>
      <c r="D117">
        <v>0</v>
      </c>
      <c r="E117">
        <f>ABS(D117)+1</f>
      </c>
      <c r="F117">
        <f>E117</f>
      </c>
      <c r="G117">
        <f>IF(D117&lt;0,"← "&amp;B117,IF(D117&gt;0,"→ "&amp;C117,"= Sama Penting"))</f>
      </c>
      <c r="H117">
        <f>IF(E117=1,1,IF(E117&lt;=3,1,IF(E117&lt;=5,3,IF(E117&lt;=7,5,7))))</f>
      </c>
      <c r="I117">
        <f>IF(E117=1,1,IF(E117&lt;=3,3,IF(E117&lt;=5,5,IF(E117&lt;=7,7,9))))</f>
      </c>
      <c r="J117">
        <f>IF(E117=1,1,IF(E117&lt;=3,5,IF(E117&lt;=5,7,IF(E117&lt;=7,9,9))))</f>
      </c>
      <c r="K117">
        <f>IF(D117&gt;0,1/J117,H117)</f>
      </c>
      <c r="L117">
        <f>IF(D117&gt;0,1/I117,I117)</f>
      </c>
      <c r="M117">
        <f>IF(D117&gt;0,1/H117,J117)</f>
      </c>
    </row>
    <row r="118">
      <c r="A118">
        <v>18</v>
      </c>
      <c r="B118" t="str">
        <v>CP3</v>
      </c>
      <c r="C118" t="str">
        <v>CP6</v>
      </c>
      <c r="D118">
        <v>0</v>
      </c>
      <c r="E118">
        <f>ABS(D118)+1</f>
      </c>
      <c r="F118">
        <f>E118</f>
      </c>
      <c r="G118">
        <f>IF(D118&lt;0,"← "&amp;B118,IF(D118&gt;0,"→ "&amp;C118,"= Sama Penting"))</f>
      </c>
      <c r="H118">
        <f>IF(E118=1,1,IF(E118&lt;=3,1,IF(E118&lt;=5,3,IF(E118&lt;=7,5,7))))</f>
      </c>
      <c r="I118">
        <f>IF(E118=1,1,IF(E118&lt;=3,3,IF(E118&lt;=5,5,IF(E118&lt;=7,7,9))))</f>
      </c>
      <c r="J118">
        <f>IF(E118=1,1,IF(E118&lt;=3,5,IF(E118&lt;=5,7,IF(E118&lt;=7,9,9))))</f>
      </c>
      <c r="K118">
        <f>IF(D118&gt;0,1/J118,H118)</f>
      </c>
      <c r="L118">
        <f>IF(D118&gt;0,1/I118,I118)</f>
      </c>
      <c r="M118">
        <f>IF(D118&gt;0,1/H118,J118)</f>
      </c>
    </row>
    <row r="119">
      <c r="A119">
        <v>19</v>
      </c>
      <c r="B119" t="str">
        <v>CP3</v>
      </c>
      <c r="C119" t="str">
        <v>CP7</v>
      </c>
      <c r="D119">
        <v>0</v>
      </c>
      <c r="E119">
        <f>ABS(D119)+1</f>
      </c>
      <c r="F119">
        <f>E119</f>
      </c>
      <c r="G119">
        <f>IF(D119&lt;0,"← "&amp;B119,IF(D119&gt;0,"→ "&amp;C119,"= Sama Penting"))</f>
      </c>
      <c r="H119">
        <f>IF(E119=1,1,IF(E119&lt;=3,1,IF(E119&lt;=5,3,IF(E119&lt;=7,5,7))))</f>
      </c>
      <c r="I119">
        <f>IF(E119=1,1,IF(E119&lt;=3,3,IF(E119&lt;=5,5,IF(E119&lt;=7,7,9))))</f>
      </c>
      <c r="J119">
        <f>IF(E119=1,1,IF(E119&lt;=3,5,IF(E119&lt;=5,7,IF(E119&lt;=7,9,9))))</f>
      </c>
      <c r="K119">
        <f>IF(D119&gt;0,1/J119,H119)</f>
      </c>
      <c r="L119">
        <f>IF(D119&gt;0,1/I119,I119)</f>
      </c>
      <c r="M119">
        <f>IF(D119&gt;0,1/H119,J119)</f>
      </c>
    </row>
    <row r="120">
      <c r="A120">
        <v>20</v>
      </c>
      <c r="B120" t="str">
        <v>CP3</v>
      </c>
      <c r="C120" t="str">
        <v>CP8</v>
      </c>
      <c r="D120">
        <v>0</v>
      </c>
      <c r="E120">
        <f>ABS(D120)+1</f>
      </c>
      <c r="F120">
        <f>E120</f>
      </c>
      <c r="G120">
        <f>IF(D120&lt;0,"← "&amp;B120,IF(D120&gt;0,"→ "&amp;C120,"= Sama Penting"))</f>
      </c>
      <c r="H120">
        <f>IF(E120=1,1,IF(E120&lt;=3,1,IF(E120&lt;=5,3,IF(E120&lt;=7,5,7))))</f>
      </c>
      <c r="I120">
        <f>IF(E120=1,1,IF(E120&lt;=3,3,IF(E120&lt;=5,5,IF(E120&lt;=7,7,9))))</f>
      </c>
      <c r="J120">
        <f>IF(E120=1,1,IF(E120&lt;=3,5,IF(E120&lt;=5,7,IF(E120&lt;=7,9,9))))</f>
      </c>
      <c r="K120">
        <f>IF(D120&gt;0,1/J120,H120)</f>
      </c>
      <c r="L120">
        <f>IF(D120&gt;0,1/I120,I120)</f>
      </c>
      <c r="M120">
        <f>IF(D120&gt;0,1/H120,J120)</f>
      </c>
    </row>
    <row r="121">
      <c r="A121">
        <v>21</v>
      </c>
      <c r="B121" t="str">
        <v>CP3</v>
      </c>
      <c r="C121" t="str">
        <v>CP9</v>
      </c>
      <c r="D121">
        <v>0</v>
      </c>
      <c r="E121">
        <f>ABS(D121)+1</f>
      </c>
      <c r="F121">
        <f>E121</f>
      </c>
      <c r="G121">
        <f>IF(D121&lt;0,"← "&amp;B121,IF(D121&gt;0,"→ "&amp;C121,"= Sama Penting"))</f>
      </c>
      <c r="H121">
        <f>IF(E121=1,1,IF(E121&lt;=3,1,IF(E121&lt;=5,3,IF(E121&lt;=7,5,7))))</f>
      </c>
      <c r="I121">
        <f>IF(E121=1,1,IF(E121&lt;=3,3,IF(E121&lt;=5,5,IF(E121&lt;=7,7,9))))</f>
      </c>
      <c r="J121">
        <f>IF(E121=1,1,IF(E121&lt;=3,5,IF(E121&lt;=5,7,IF(E121&lt;=7,9,9))))</f>
      </c>
      <c r="K121">
        <f>IF(D121&gt;0,1/J121,H121)</f>
      </c>
      <c r="L121">
        <f>IF(D121&gt;0,1/I121,I121)</f>
      </c>
      <c r="M121">
        <f>IF(D121&gt;0,1/H121,J121)</f>
      </c>
    </row>
    <row r="122">
      <c r="A122">
        <v>22</v>
      </c>
      <c r="B122" t="str">
        <v>CP4</v>
      </c>
      <c r="C122" t="str">
        <v>CP5</v>
      </c>
      <c r="D122">
        <v>0</v>
      </c>
      <c r="E122">
        <f>ABS(D122)+1</f>
      </c>
      <c r="F122">
        <f>E122</f>
      </c>
      <c r="G122">
        <f>IF(D122&lt;0,"← "&amp;B122,IF(D122&gt;0,"→ "&amp;C122,"= Sama Penting"))</f>
      </c>
      <c r="H122">
        <f>IF(E122=1,1,IF(E122&lt;=3,1,IF(E122&lt;=5,3,IF(E122&lt;=7,5,7))))</f>
      </c>
      <c r="I122">
        <f>IF(E122=1,1,IF(E122&lt;=3,3,IF(E122&lt;=5,5,IF(E122&lt;=7,7,9))))</f>
      </c>
      <c r="J122">
        <f>IF(E122=1,1,IF(E122&lt;=3,5,IF(E122&lt;=5,7,IF(E122&lt;=7,9,9))))</f>
      </c>
      <c r="K122">
        <f>IF(D122&gt;0,1/J122,H122)</f>
      </c>
      <c r="L122">
        <f>IF(D122&gt;0,1/I122,I122)</f>
      </c>
      <c r="M122">
        <f>IF(D122&gt;0,1/H122,J122)</f>
      </c>
    </row>
    <row r="123">
      <c r="A123">
        <v>23</v>
      </c>
      <c r="B123" t="str">
        <v>CP4</v>
      </c>
      <c r="C123" t="str">
        <v>CP6</v>
      </c>
      <c r="D123">
        <v>0</v>
      </c>
      <c r="E123">
        <f>ABS(D123)+1</f>
      </c>
      <c r="F123">
        <f>E123</f>
      </c>
      <c r="G123">
        <f>IF(D123&lt;0,"← "&amp;B123,IF(D123&gt;0,"→ "&amp;C123,"= Sama Penting"))</f>
      </c>
      <c r="H123">
        <f>IF(E123=1,1,IF(E123&lt;=3,1,IF(E123&lt;=5,3,IF(E123&lt;=7,5,7))))</f>
      </c>
      <c r="I123">
        <f>IF(E123=1,1,IF(E123&lt;=3,3,IF(E123&lt;=5,5,IF(E123&lt;=7,7,9))))</f>
      </c>
      <c r="J123">
        <f>IF(E123=1,1,IF(E123&lt;=3,5,IF(E123&lt;=5,7,IF(E123&lt;=7,9,9))))</f>
      </c>
      <c r="K123">
        <f>IF(D123&gt;0,1/J123,H123)</f>
      </c>
      <c r="L123">
        <f>IF(D123&gt;0,1/I123,I123)</f>
      </c>
      <c r="M123">
        <f>IF(D123&gt;0,1/H123,J123)</f>
      </c>
    </row>
    <row r="124">
      <c r="A124">
        <v>24</v>
      </c>
      <c r="B124" t="str">
        <v>CP4</v>
      </c>
      <c r="C124" t="str">
        <v>CP7</v>
      </c>
      <c r="D124">
        <v>0</v>
      </c>
      <c r="E124">
        <f>ABS(D124)+1</f>
      </c>
      <c r="F124">
        <f>E124</f>
      </c>
      <c r="G124">
        <f>IF(D124&lt;0,"← "&amp;B124,IF(D124&gt;0,"→ "&amp;C124,"= Sama Penting"))</f>
      </c>
      <c r="H124">
        <f>IF(E124=1,1,IF(E124&lt;=3,1,IF(E124&lt;=5,3,IF(E124&lt;=7,5,7))))</f>
      </c>
      <c r="I124">
        <f>IF(E124=1,1,IF(E124&lt;=3,3,IF(E124&lt;=5,5,IF(E124&lt;=7,7,9))))</f>
      </c>
      <c r="J124">
        <f>IF(E124=1,1,IF(E124&lt;=3,5,IF(E124&lt;=5,7,IF(E124&lt;=7,9,9))))</f>
      </c>
      <c r="K124">
        <f>IF(D124&gt;0,1/J124,H124)</f>
      </c>
      <c r="L124">
        <f>IF(D124&gt;0,1/I124,I124)</f>
      </c>
      <c r="M124">
        <f>IF(D124&gt;0,1/H124,J124)</f>
      </c>
    </row>
    <row r="125">
      <c r="A125">
        <v>25</v>
      </c>
      <c r="B125" t="str">
        <v>CP4</v>
      </c>
      <c r="C125" t="str">
        <v>CP8</v>
      </c>
      <c r="D125">
        <v>0</v>
      </c>
      <c r="E125">
        <f>ABS(D125)+1</f>
      </c>
      <c r="F125">
        <f>E125</f>
      </c>
      <c r="G125">
        <f>IF(D125&lt;0,"← "&amp;B125,IF(D125&gt;0,"→ "&amp;C125,"= Sama Penting"))</f>
      </c>
      <c r="H125">
        <f>IF(E125=1,1,IF(E125&lt;=3,1,IF(E125&lt;=5,3,IF(E125&lt;=7,5,7))))</f>
      </c>
      <c r="I125">
        <f>IF(E125=1,1,IF(E125&lt;=3,3,IF(E125&lt;=5,5,IF(E125&lt;=7,7,9))))</f>
      </c>
      <c r="J125">
        <f>IF(E125=1,1,IF(E125&lt;=3,5,IF(E125&lt;=5,7,IF(E125&lt;=7,9,9))))</f>
      </c>
      <c r="K125">
        <f>IF(D125&gt;0,1/J125,H125)</f>
      </c>
      <c r="L125">
        <f>IF(D125&gt;0,1/I125,I125)</f>
      </c>
      <c r="M125">
        <f>IF(D125&gt;0,1/H125,J125)</f>
      </c>
    </row>
    <row r="126">
      <c r="A126">
        <v>26</v>
      </c>
      <c r="B126" t="str">
        <v>CP4</v>
      </c>
      <c r="C126" t="str">
        <v>CP9</v>
      </c>
      <c r="D126">
        <v>0</v>
      </c>
      <c r="E126">
        <f>ABS(D126)+1</f>
      </c>
      <c r="F126">
        <f>E126</f>
      </c>
      <c r="G126">
        <f>IF(D126&lt;0,"← "&amp;B126,IF(D126&gt;0,"→ "&amp;C126,"= Sama Penting"))</f>
      </c>
      <c r="H126">
        <f>IF(E126=1,1,IF(E126&lt;=3,1,IF(E126&lt;=5,3,IF(E126&lt;=7,5,7))))</f>
      </c>
      <c r="I126">
        <f>IF(E126=1,1,IF(E126&lt;=3,3,IF(E126&lt;=5,5,IF(E126&lt;=7,7,9))))</f>
      </c>
      <c r="J126">
        <f>IF(E126=1,1,IF(E126&lt;=3,5,IF(E126&lt;=5,7,IF(E126&lt;=7,9,9))))</f>
      </c>
      <c r="K126">
        <f>IF(D126&gt;0,1/J126,H126)</f>
      </c>
      <c r="L126">
        <f>IF(D126&gt;0,1/I126,I126)</f>
      </c>
      <c r="M126">
        <f>IF(D126&gt;0,1/H126,J126)</f>
      </c>
    </row>
    <row r="127">
      <c r="A127">
        <v>27</v>
      </c>
      <c r="B127" t="str">
        <v>CP5</v>
      </c>
      <c r="C127" t="str">
        <v>CP6</v>
      </c>
      <c r="D127">
        <v>0</v>
      </c>
      <c r="E127">
        <f>ABS(D127)+1</f>
      </c>
      <c r="F127">
        <f>E127</f>
      </c>
      <c r="G127">
        <f>IF(D127&lt;0,"← "&amp;B127,IF(D127&gt;0,"→ "&amp;C127,"= Sama Penting"))</f>
      </c>
      <c r="H127">
        <f>IF(E127=1,1,IF(E127&lt;=3,1,IF(E127&lt;=5,3,IF(E127&lt;=7,5,7))))</f>
      </c>
      <c r="I127">
        <f>IF(E127=1,1,IF(E127&lt;=3,3,IF(E127&lt;=5,5,IF(E127&lt;=7,7,9))))</f>
      </c>
      <c r="J127">
        <f>IF(E127=1,1,IF(E127&lt;=3,5,IF(E127&lt;=5,7,IF(E127&lt;=7,9,9))))</f>
      </c>
      <c r="K127">
        <f>IF(D127&gt;0,1/J127,H127)</f>
      </c>
      <c r="L127">
        <f>IF(D127&gt;0,1/I127,I127)</f>
      </c>
      <c r="M127">
        <f>IF(D127&gt;0,1/H127,J127)</f>
      </c>
    </row>
    <row r="128">
      <c r="A128">
        <v>28</v>
      </c>
      <c r="B128" t="str">
        <v>CP5</v>
      </c>
      <c r="C128" t="str">
        <v>CP7</v>
      </c>
      <c r="D128">
        <v>0</v>
      </c>
      <c r="E128">
        <f>ABS(D128)+1</f>
      </c>
      <c r="F128">
        <f>E128</f>
      </c>
      <c r="G128">
        <f>IF(D128&lt;0,"← "&amp;B128,IF(D128&gt;0,"→ "&amp;C128,"= Sama Penting"))</f>
      </c>
      <c r="H128">
        <f>IF(E128=1,1,IF(E128&lt;=3,1,IF(E128&lt;=5,3,IF(E128&lt;=7,5,7))))</f>
      </c>
      <c r="I128">
        <f>IF(E128=1,1,IF(E128&lt;=3,3,IF(E128&lt;=5,5,IF(E128&lt;=7,7,9))))</f>
      </c>
      <c r="J128">
        <f>IF(E128=1,1,IF(E128&lt;=3,5,IF(E128&lt;=5,7,IF(E128&lt;=7,9,9))))</f>
      </c>
      <c r="K128">
        <f>IF(D128&gt;0,1/J128,H128)</f>
      </c>
      <c r="L128">
        <f>IF(D128&gt;0,1/I128,I128)</f>
      </c>
      <c r="M128">
        <f>IF(D128&gt;0,1/H128,J128)</f>
      </c>
    </row>
    <row r="129">
      <c r="A129">
        <v>29</v>
      </c>
      <c r="B129" t="str">
        <v>CP5</v>
      </c>
      <c r="C129" t="str">
        <v>CP8</v>
      </c>
      <c r="D129">
        <v>0</v>
      </c>
      <c r="E129">
        <f>ABS(D129)+1</f>
      </c>
      <c r="F129">
        <f>E129</f>
      </c>
      <c r="G129">
        <f>IF(D129&lt;0,"← "&amp;B129,IF(D129&gt;0,"→ "&amp;C129,"= Sama Penting"))</f>
      </c>
      <c r="H129">
        <f>IF(E129=1,1,IF(E129&lt;=3,1,IF(E129&lt;=5,3,IF(E129&lt;=7,5,7))))</f>
      </c>
      <c r="I129">
        <f>IF(E129=1,1,IF(E129&lt;=3,3,IF(E129&lt;=5,5,IF(E129&lt;=7,7,9))))</f>
      </c>
      <c r="J129">
        <f>IF(E129=1,1,IF(E129&lt;=3,5,IF(E129&lt;=5,7,IF(E129&lt;=7,9,9))))</f>
      </c>
      <c r="K129">
        <f>IF(D129&gt;0,1/J129,H129)</f>
      </c>
      <c r="L129">
        <f>IF(D129&gt;0,1/I129,I129)</f>
      </c>
      <c r="M129">
        <f>IF(D129&gt;0,1/H129,J129)</f>
      </c>
    </row>
    <row r="130">
      <c r="A130">
        <v>30</v>
      </c>
      <c r="B130" t="str">
        <v>CP5</v>
      </c>
      <c r="C130" t="str">
        <v>CP9</v>
      </c>
      <c r="D130">
        <v>0</v>
      </c>
      <c r="E130">
        <f>ABS(D130)+1</f>
      </c>
      <c r="F130">
        <f>E130</f>
      </c>
      <c r="G130">
        <f>IF(D130&lt;0,"← "&amp;B130,IF(D130&gt;0,"→ "&amp;C130,"= Sama Penting"))</f>
      </c>
      <c r="H130">
        <f>IF(E130=1,1,IF(E130&lt;=3,1,IF(E130&lt;=5,3,IF(E130&lt;=7,5,7))))</f>
      </c>
      <c r="I130">
        <f>IF(E130=1,1,IF(E130&lt;=3,3,IF(E130&lt;=5,5,IF(E130&lt;=7,7,9))))</f>
      </c>
      <c r="J130">
        <f>IF(E130=1,1,IF(E130&lt;=3,5,IF(E130&lt;=5,7,IF(E130&lt;=7,9,9))))</f>
      </c>
      <c r="K130">
        <f>IF(D130&gt;0,1/J130,H130)</f>
      </c>
      <c r="L130">
        <f>IF(D130&gt;0,1/I130,I130)</f>
      </c>
      <c r="M130">
        <f>IF(D130&gt;0,1/H130,J130)</f>
      </c>
    </row>
    <row r="131">
      <c r="A131">
        <v>31</v>
      </c>
      <c r="B131" t="str">
        <v>CP6</v>
      </c>
      <c r="C131" t="str">
        <v>CP7</v>
      </c>
      <c r="D131">
        <v>0</v>
      </c>
      <c r="E131">
        <f>ABS(D131)+1</f>
      </c>
      <c r="F131">
        <f>E131</f>
      </c>
      <c r="G131">
        <f>IF(D131&lt;0,"← "&amp;B131,IF(D131&gt;0,"→ "&amp;C131,"= Sama Penting"))</f>
      </c>
      <c r="H131">
        <f>IF(E131=1,1,IF(E131&lt;=3,1,IF(E131&lt;=5,3,IF(E131&lt;=7,5,7))))</f>
      </c>
      <c r="I131">
        <f>IF(E131=1,1,IF(E131&lt;=3,3,IF(E131&lt;=5,5,IF(E131&lt;=7,7,9))))</f>
      </c>
      <c r="J131">
        <f>IF(E131=1,1,IF(E131&lt;=3,5,IF(E131&lt;=5,7,IF(E131&lt;=7,9,9))))</f>
      </c>
      <c r="K131">
        <f>IF(D131&gt;0,1/J131,H131)</f>
      </c>
      <c r="L131">
        <f>IF(D131&gt;0,1/I131,I131)</f>
      </c>
      <c r="M131">
        <f>IF(D131&gt;0,1/H131,J131)</f>
      </c>
    </row>
    <row r="132">
      <c r="A132">
        <v>32</v>
      </c>
      <c r="B132" t="str">
        <v>CP6</v>
      </c>
      <c r="C132" t="str">
        <v>CP8</v>
      </c>
      <c r="D132">
        <v>0</v>
      </c>
      <c r="E132">
        <f>ABS(D132)+1</f>
      </c>
      <c r="F132">
        <f>E132</f>
      </c>
      <c r="G132">
        <f>IF(D132&lt;0,"← "&amp;B132,IF(D132&gt;0,"→ "&amp;C132,"= Sama Penting"))</f>
      </c>
      <c r="H132">
        <f>IF(E132=1,1,IF(E132&lt;=3,1,IF(E132&lt;=5,3,IF(E132&lt;=7,5,7))))</f>
      </c>
      <c r="I132">
        <f>IF(E132=1,1,IF(E132&lt;=3,3,IF(E132&lt;=5,5,IF(E132&lt;=7,7,9))))</f>
      </c>
      <c r="J132">
        <f>IF(E132=1,1,IF(E132&lt;=3,5,IF(E132&lt;=5,7,IF(E132&lt;=7,9,9))))</f>
      </c>
      <c r="K132">
        <f>IF(D132&gt;0,1/J132,H132)</f>
      </c>
      <c r="L132">
        <f>IF(D132&gt;0,1/I132,I132)</f>
      </c>
      <c r="M132">
        <f>IF(D132&gt;0,1/H132,J132)</f>
      </c>
    </row>
    <row r="133">
      <c r="A133">
        <v>33</v>
      </c>
      <c r="B133" t="str">
        <v>CP6</v>
      </c>
      <c r="C133" t="str">
        <v>CP9</v>
      </c>
      <c r="D133">
        <v>0</v>
      </c>
      <c r="E133">
        <f>ABS(D133)+1</f>
      </c>
      <c r="F133">
        <f>E133</f>
      </c>
      <c r="G133">
        <f>IF(D133&lt;0,"← "&amp;B133,IF(D133&gt;0,"→ "&amp;C133,"= Sama Penting"))</f>
      </c>
      <c r="H133">
        <f>IF(E133=1,1,IF(E133&lt;=3,1,IF(E133&lt;=5,3,IF(E133&lt;=7,5,7))))</f>
      </c>
      <c r="I133">
        <f>IF(E133=1,1,IF(E133&lt;=3,3,IF(E133&lt;=5,5,IF(E133&lt;=7,7,9))))</f>
      </c>
      <c r="J133">
        <f>IF(E133=1,1,IF(E133&lt;=3,5,IF(E133&lt;=5,7,IF(E133&lt;=7,9,9))))</f>
      </c>
      <c r="K133">
        <f>IF(D133&gt;0,1/J133,H133)</f>
      </c>
      <c r="L133">
        <f>IF(D133&gt;0,1/I133,I133)</f>
      </c>
      <c r="M133">
        <f>IF(D133&gt;0,1/H133,J133)</f>
      </c>
    </row>
    <row r="134">
      <c r="A134">
        <v>34</v>
      </c>
      <c r="B134" t="str">
        <v>CP7</v>
      </c>
      <c r="C134" t="str">
        <v>CP8</v>
      </c>
      <c r="D134">
        <v>0</v>
      </c>
      <c r="E134">
        <f>ABS(D134)+1</f>
      </c>
      <c r="F134">
        <f>E134</f>
      </c>
      <c r="G134">
        <f>IF(D134&lt;0,"← "&amp;B134,IF(D134&gt;0,"→ "&amp;C134,"= Sama Penting"))</f>
      </c>
      <c r="H134">
        <f>IF(E134=1,1,IF(E134&lt;=3,1,IF(E134&lt;=5,3,IF(E134&lt;=7,5,7))))</f>
      </c>
      <c r="I134">
        <f>IF(E134=1,1,IF(E134&lt;=3,3,IF(E134&lt;=5,5,IF(E134&lt;=7,7,9))))</f>
      </c>
      <c r="J134">
        <f>IF(E134=1,1,IF(E134&lt;=3,5,IF(E134&lt;=5,7,IF(E134&lt;=7,9,9))))</f>
      </c>
      <c r="K134">
        <f>IF(D134&gt;0,1/J134,H134)</f>
      </c>
      <c r="L134">
        <f>IF(D134&gt;0,1/I134,I134)</f>
      </c>
      <c r="M134">
        <f>IF(D134&gt;0,1/H134,J134)</f>
      </c>
    </row>
    <row r="135">
      <c r="A135">
        <v>35</v>
      </c>
      <c r="B135" t="str">
        <v>CP7</v>
      </c>
      <c r="C135" t="str">
        <v>CP9</v>
      </c>
      <c r="D135">
        <v>0</v>
      </c>
      <c r="E135">
        <f>ABS(D135)+1</f>
      </c>
      <c r="F135">
        <f>E135</f>
      </c>
      <c r="G135">
        <f>IF(D135&lt;0,"← "&amp;B135,IF(D135&gt;0,"→ "&amp;C135,"= Sama Penting"))</f>
      </c>
      <c r="H135">
        <f>IF(E135=1,1,IF(E135&lt;=3,1,IF(E135&lt;=5,3,IF(E135&lt;=7,5,7))))</f>
      </c>
      <c r="I135">
        <f>IF(E135=1,1,IF(E135&lt;=3,3,IF(E135&lt;=5,5,IF(E135&lt;=7,7,9))))</f>
      </c>
      <c r="J135">
        <f>IF(E135=1,1,IF(E135&lt;=3,5,IF(E135&lt;=5,7,IF(E135&lt;=7,9,9))))</f>
      </c>
      <c r="K135">
        <f>IF(D135&gt;0,1/J135,H135)</f>
      </c>
      <c r="L135">
        <f>IF(D135&gt;0,1/I135,I135)</f>
      </c>
      <c r="M135">
        <f>IF(D135&gt;0,1/H135,J135)</f>
      </c>
    </row>
    <row r="136">
      <c r="A136">
        <v>36</v>
      </c>
      <c r="B136" t="str">
        <v>CP8</v>
      </c>
      <c r="C136" t="str">
        <v>CP9</v>
      </c>
      <c r="D136">
        <v>0</v>
      </c>
      <c r="E136">
        <f>ABS(D136)+1</f>
      </c>
      <c r="F136">
        <f>E136</f>
      </c>
      <c r="G136">
        <f>IF(D136&lt;0,"← "&amp;B136,IF(D136&gt;0,"→ "&amp;C136,"= Sama Penting"))</f>
      </c>
      <c r="H136">
        <f>IF(E136=1,1,IF(E136&lt;=3,1,IF(E136&lt;=5,3,IF(E136&lt;=7,5,7))))</f>
      </c>
      <c r="I136">
        <f>IF(E136=1,1,IF(E136&lt;=3,3,IF(E136&lt;=5,5,IF(E136&lt;=7,7,9))))</f>
      </c>
      <c r="J136">
        <f>IF(E136=1,1,IF(E136&lt;=3,5,IF(E136&lt;=5,7,IF(E136&lt;=7,9,9))))</f>
      </c>
      <c r="K136">
        <f>IF(D136&gt;0,1/J136,H136)</f>
      </c>
      <c r="L136">
        <f>IF(D136&gt;0,1/I136,I136)</f>
      </c>
      <c r="M136">
        <f>IF(D136&gt;0,1/H136,J136)</f>
      </c>
    </row>
  </sheetData>
  <ignoredErrors>
    <ignoredError numberStoredAsText="1" sqref="A1:N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43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AGREGASI GEOMETRIC MEAN — TFN Antar Responden</v>
      </c>
    </row>
    <row r="2">
      <c r="A2" t="str">
        <v>Geometric Mean: GM = (∏ xi)^(1/n), n = 3 responden</v>
      </c>
    </row>
    <row r="3">
      <c r="A3" t="str">
        <v>Rumus: Untuk setiap komponen l, m, u → Product semua responden, lalu pangkat 1/n</v>
      </c>
    </row>
    <row r="5">
      <c r="A5" t="str">
        <v>No</v>
      </c>
      <c r="B5" t="str">
        <v>Pasangan</v>
      </c>
      <c r="C5" t="str">
        <v>R1_l</v>
      </c>
      <c r="D5" t="str">
        <v>R1_m</v>
      </c>
      <c r="E5" t="str">
        <v>R1_u</v>
      </c>
      <c r="F5" t="str">
        <v>R2_l</v>
      </c>
      <c r="G5" t="str">
        <v>R2_m</v>
      </c>
      <c r="H5" t="str">
        <v>R2_u</v>
      </c>
      <c r="I5" t="str">
        <v>R3_l</v>
      </c>
      <c r="J5" t="str">
        <v>R3_m</v>
      </c>
      <c r="K5" t="str">
        <v>R3_u</v>
      </c>
      <c r="L5" t="str">
        <v>Prod_l</v>
      </c>
      <c r="M5" t="str">
        <v>Prod_m</v>
      </c>
      <c r="N5" t="str">
        <v>Prod_u</v>
      </c>
      <c r="O5" t="str">
        <v>GM_l</v>
      </c>
      <c r="P5" t="str">
        <v>GM_m</v>
      </c>
      <c r="Q5" t="str">
        <v>GM_u</v>
      </c>
    </row>
    <row r="6">
      <c r="A6">
        <v>1</v>
      </c>
      <c r="B6" t="str">
        <v>CP1_vs_CP2</v>
      </c>
      <c r="C6">
        <f>'INPUT_SLIDER'!K21</f>
      </c>
      <c r="D6">
        <f>'INPUT_SLIDER'!L21</f>
      </c>
      <c r="E6">
        <f>'INPUT_SLIDER'!M21</f>
      </c>
      <c r="F6">
        <f>'INPUT_SLIDER'!K61</f>
      </c>
      <c r="G6">
        <f>'INPUT_SLIDER'!L61</f>
      </c>
      <c r="H6">
        <f>'INPUT_SLIDER'!M61</f>
      </c>
      <c r="I6">
        <f>'INPUT_SLIDER'!K101</f>
      </c>
      <c r="J6">
        <f>'INPUT_SLIDER'!L101</f>
      </c>
      <c r="K6">
        <f>'INPUT_SLIDER'!M101</f>
      </c>
      <c r="L6">
        <f>PRODUCT(C6,F6,I6)</f>
      </c>
      <c r="M6">
        <f>PRODUCT(D6,G6,J6)</f>
      </c>
      <c r="N6">
        <f>PRODUCT(E6,H6,K6)</f>
      </c>
      <c r="O6" s="1">
        <f>POWER(L6,1/3)</f>
      </c>
      <c r="P6" s="1">
        <f>POWER(M6,1/3)</f>
      </c>
      <c r="Q6" s="1">
        <f>POWER(N6,1/3)</f>
      </c>
    </row>
    <row r="7">
      <c r="A7">
        <v>2</v>
      </c>
      <c r="B7" t="str">
        <v>CP1_vs_CP3</v>
      </c>
      <c r="C7">
        <f>'INPUT_SLIDER'!K22</f>
      </c>
      <c r="D7">
        <f>'INPUT_SLIDER'!L22</f>
      </c>
      <c r="E7">
        <f>'INPUT_SLIDER'!M22</f>
      </c>
      <c r="F7">
        <f>'INPUT_SLIDER'!K62</f>
      </c>
      <c r="G7">
        <f>'INPUT_SLIDER'!L62</f>
      </c>
      <c r="H7">
        <f>'INPUT_SLIDER'!M62</f>
      </c>
      <c r="I7">
        <f>'INPUT_SLIDER'!K102</f>
      </c>
      <c r="J7">
        <f>'INPUT_SLIDER'!L102</f>
      </c>
      <c r="K7">
        <f>'INPUT_SLIDER'!M102</f>
      </c>
      <c r="L7">
        <f>PRODUCT(C7,F7,I7)</f>
      </c>
      <c r="M7">
        <f>PRODUCT(D7,G7,J7)</f>
      </c>
      <c r="N7">
        <f>PRODUCT(E7,H7,K7)</f>
      </c>
      <c r="O7" s="1">
        <f>POWER(L7,1/3)</f>
      </c>
      <c r="P7" s="1">
        <f>POWER(M7,1/3)</f>
      </c>
      <c r="Q7" s="1">
        <f>POWER(N7,1/3)</f>
      </c>
    </row>
    <row r="8">
      <c r="A8">
        <v>3</v>
      </c>
      <c r="B8" t="str">
        <v>CP1_vs_CP4</v>
      </c>
      <c r="C8">
        <f>'INPUT_SLIDER'!K23</f>
      </c>
      <c r="D8">
        <f>'INPUT_SLIDER'!L23</f>
      </c>
      <c r="E8">
        <f>'INPUT_SLIDER'!M23</f>
      </c>
      <c r="F8">
        <f>'INPUT_SLIDER'!K63</f>
      </c>
      <c r="G8">
        <f>'INPUT_SLIDER'!L63</f>
      </c>
      <c r="H8">
        <f>'INPUT_SLIDER'!M63</f>
      </c>
      <c r="I8">
        <f>'INPUT_SLIDER'!K103</f>
      </c>
      <c r="J8">
        <f>'INPUT_SLIDER'!L103</f>
      </c>
      <c r="K8">
        <f>'INPUT_SLIDER'!M103</f>
      </c>
      <c r="L8">
        <f>PRODUCT(C8,F8,I8)</f>
      </c>
      <c r="M8">
        <f>PRODUCT(D8,G8,J8)</f>
      </c>
      <c r="N8">
        <f>PRODUCT(E8,H8,K8)</f>
      </c>
      <c r="O8" s="1">
        <f>POWER(L8,1/3)</f>
      </c>
      <c r="P8" s="1">
        <f>POWER(M8,1/3)</f>
      </c>
      <c r="Q8" s="1">
        <f>POWER(N8,1/3)</f>
      </c>
    </row>
    <row r="9">
      <c r="A9">
        <v>4</v>
      </c>
      <c r="B9" t="str">
        <v>CP1_vs_CP5</v>
      </c>
      <c r="C9">
        <f>'INPUT_SLIDER'!K24</f>
      </c>
      <c r="D9">
        <f>'INPUT_SLIDER'!L24</f>
      </c>
      <c r="E9">
        <f>'INPUT_SLIDER'!M24</f>
      </c>
      <c r="F9">
        <f>'INPUT_SLIDER'!K64</f>
      </c>
      <c r="G9">
        <f>'INPUT_SLIDER'!L64</f>
      </c>
      <c r="H9">
        <f>'INPUT_SLIDER'!M64</f>
      </c>
      <c r="I9">
        <f>'INPUT_SLIDER'!K104</f>
      </c>
      <c r="J9">
        <f>'INPUT_SLIDER'!L104</f>
      </c>
      <c r="K9">
        <f>'INPUT_SLIDER'!M104</f>
      </c>
      <c r="L9">
        <f>PRODUCT(C9,F9,I9)</f>
      </c>
      <c r="M9">
        <f>PRODUCT(D9,G9,J9)</f>
      </c>
      <c r="N9">
        <f>PRODUCT(E9,H9,K9)</f>
      </c>
      <c r="O9" s="1">
        <f>POWER(L9,1/3)</f>
      </c>
      <c r="P9" s="1">
        <f>POWER(M9,1/3)</f>
      </c>
      <c r="Q9" s="1">
        <f>POWER(N9,1/3)</f>
      </c>
    </row>
    <row r="10">
      <c r="A10">
        <v>5</v>
      </c>
      <c r="B10" t="str">
        <v>CP1_vs_CP6</v>
      </c>
      <c r="C10">
        <f>'INPUT_SLIDER'!K25</f>
      </c>
      <c r="D10">
        <f>'INPUT_SLIDER'!L25</f>
      </c>
      <c r="E10">
        <f>'INPUT_SLIDER'!M25</f>
      </c>
      <c r="F10">
        <f>'INPUT_SLIDER'!K65</f>
      </c>
      <c r="G10">
        <f>'INPUT_SLIDER'!L65</f>
      </c>
      <c r="H10">
        <f>'INPUT_SLIDER'!M65</f>
      </c>
      <c r="I10">
        <f>'INPUT_SLIDER'!K105</f>
      </c>
      <c r="J10">
        <f>'INPUT_SLIDER'!L105</f>
      </c>
      <c r="K10">
        <f>'INPUT_SLIDER'!M105</f>
      </c>
      <c r="L10">
        <f>PRODUCT(C10,F10,I10)</f>
      </c>
      <c r="M10">
        <f>PRODUCT(D10,G10,J10)</f>
      </c>
      <c r="N10">
        <f>PRODUCT(E10,H10,K10)</f>
      </c>
      <c r="O10" s="1">
        <f>POWER(L10,1/3)</f>
      </c>
      <c r="P10" s="1">
        <f>POWER(M10,1/3)</f>
      </c>
      <c r="Q10" s="1">
        <f>POWER(N10,1/3)</f>
      </c>
    </row>
    <row r="11">
      <c r="A11">
        <v>6</v>
      </c>
      <c r="B11" t="str">
        <v>CP1_vs_CP7</v>
      </c>
      <c r="C11">
        <f>'INPUT_SLIDER'!K26</f>
      </c>
      <c r="D11">
        <f>'INPUT_SLIDER'!L26</f>
      </c>
      <c r="E11">
        <f>'INPUT_SLIDER'!M26</f>
      </c>
      <c r="F11">
        <f>'INPUT_SLIDER'!K66</f>
      </c>
      <c r="G11">
        <f>'INPUT_SLIDER'!L66</f>
      </c>
      <c r="H11">
        <f>'INPUT_SLIDER'!M66</f>
      </c>
      <c r="I11">
        <f>'INPUT_SLIDER'!K106</f>
      </c>
      <c r="J11">
        <f>'INPUT_SLIDER'!L106</f>
      </c>
      <c r="K11">
        <f>'INPUT_SLIDER'!M106</f>
      </c>
      <c r="L11">
        <f>PRODUCT(C11,F11,I11)</f>
      </c>
      <c r="M11">
        <f>PRODUCT(D11,G11,J11)</f>
      </c>
      <c r="N11">
        <f>PRODUCT(E11,H11,K11)</f>
      </c>
      <c r="O11" s="1">
        <f>POWER(L11,1/3)</f>
      </c>
      <c r="P11" s="1">
        <f>POWER(M11,1/3)</f>
      </c>
      <c r="Q11" s="1">
        <f>POWER(N11,1/3)</f>
      </c>
    </row>
    <row r="12">
      <c r="A12">
        <v>7</v>
      </c>
      <c r="B12" t="str">
        <v>CP1_vs_CP8</v>
      </c>
      <c r="C12">
        <f>'INPUT_SLIDER'!K27</f>
      </c>
      <c r="D12">
        <f>'INPUT_SLIDER'!L27</f>
      </c>
      <c r="E12">
        <f>'INPUT_SLIDER'!M27</f>
      </c>
      <c r="F12">
        <f>'INPUT_SLIDER'!K67</f>
      </c>
      <c r="G12">
        <f>'INPUT_SLIDER'!L67</f>
      </c>
      <c r="H12">
        <f>'INPUT_SLIDER'!M67</f>
      </c>
      <c r="I12">
        <f>'INPUT_SLIDER'!K107</f>
      </c>
      <c r="J12">
        <f>'INPUT_SLIDER'!L107</f>
      </c>
      <c r="K12">
        <f>'INPUT_SLIDER'!M107</f>
      </c>
      <c r="L12">
        <f>PRODUCT(C12,F12,I12)</f>
      </c>
      <c r="M12">
        <f>PRODUCT(D12,G12,J12)</f>
      </c>
      <c r="N12">
        <f>PRODUCT(E12,H12,K12)</f>
      </c>
      <c r="O12" s="1">
        <f>POWER(L12,1/3)</f>
      </c>
      <c r="P12" s="1">
        <f>POWER(M12,1/3)</f>
      </c>
      <c r="Q12" s="1">
        <f>POWER(N12,1/3)</f>
      </c>
    </row>
    <row r="13">
      <c r="A13">
        <v>8</v>
      </c>
      <c r="B13" t="str">
        <v>CP1_vs_CP9</v>
      </c>
      <c r="C13">
        <f>'INPUT_SLIDER'!K28</f>
      </c>
      <c r="D13">
        <f>'INPUT_SLIDER'!L28</f>
      </c>
      <c r="E13">
        <f>'INPUT_SLIDER'!M28</f>
      </c>
      <c r="F13">
        <f>'INPUT_SLIDER'!K68</f>
      </c>
      <c r="G13">
        <f>'INPUT_SLIDER'!L68</f>
      </c>
      <c r="H13">
        <f>'INPUT_SLIDER'!M68</f>
      </c>
      <c r="I13">
        <f>'INPUT_SLIDER'!K108</f>
      </c>
      <c r="J13">
        <f>'INPUT_SLIDER'!L108</f>
      </c>
      <c r="K13">
        <f>'INPUT_SLIDER'!M108</f>
      </c>
      <c r="L13">
        <f>PRODUCT(C13,F13,I13)</f>
      </c>
      <c r="M13">
        <f>PRODUCT(D13,G13,J13)</f>
      </c>
      <c r="N13">
        <f>PRODUCT(E13,H13,K13)</f>
      </c>
      <c r="O13" s="1">
        <f>POWER(L13,1/3)</f>
      </c>
      <c r="P13" s="1">
        <f>POWER(M13,1/3)</f>
      </c>
      <c r="Q13" s="1">
        <f>POWER(N13,1/3)</f>
      </c>
    </row>
    <row r="14">
      <c r="A14">
        <v>9</v>
      </c>
      <c r="B14" t="str">
        <v>CP2_vs_CP3</v>
      </c>
      <c r="C14">
        <f>'INPUT_SLIDER'!K29</f>
      </c>
      <c r="D14">
        <f>'INPUT_SLIDER'!L29</f>
      </c>
      <c r="E14">
        <f>'INPUT_SLIDER'!M29</f>
      </c>
      <c r="F14">
        <f>'INPUT_SLIDER'!K69</f>
      </c>
      <c r="G14">
        <f>'INPUT_SLIDER'!L69</f>
      </c>
      <c r="H14">
        <f>'INPUT_SLIDER'!M69</f>
      </c>
      <c r="I14">
        <f>'INPUT_SLIDER'!K109</f>
      </c>
      <c r="J14">
        <f>'INPUT_SLIDER'!L109</f>
      </c>
      <c r="K14">
        <f>'INPUT_SLIDER'!M109</f>
      </c>
      <c r="L14">
        <f>PRODUCT(C14,F14,I14)</f>
      </c>
      <c r="M14">
        <f>PRODUCT(D14,G14,J14)</f>
      </c>
      <c r="N14">
        <f>PRODUCT(E14,H14,K14)</f>
      </c>
      <c r="O14" s="1">
        <f>POWER(L14,1/3)</f>
      </c>
      <c r="P14" s="1">
        <f>POWER(M14,1/3)</f>
      </c>
      <c r="Q14" s="1">
        <f>POWER(N14,1/3)</f>
      </c>
    </row>
    <row r="15">
      <c r="A15">
        <v>10</v>
      </c>
      <c r="B15" t="str">
        <v>CP2_vs_CP4</v>
      </c>
      <c r="C15">
        <f>'INPUT_SLIDER'!K30</f>
      </c>
      <c r="D15">
        <f>'INPUT_SLIDER'!L30</f>
      </c>
      <c r="E15">
        <f>'INPUT_SLIDER'!M30</f>
      </c>
      <c r="F15">
        <f>'INPUT_SLIDER'!K70</f>
      </c>
      <c r="G15">
        <f>'INPUT_SLIDER'!L70</f>
      </c>
      <c r="H15">
        <f>'INPUT_SLIDER'!M70</f>
      </c>
      <c r="I15">
        <f>'INPUT_SLIDER'!K110</f>
      </c>
      <c r="J15">
        <f>'INPUT_SLIDER'!L110</f>
      </c>
      <c r="K15">
        <f>'INPUT_SLIDER'!M110</f>
      </c>
      <c r="L15">
        <f>PRODUCT(C15,F15,I15)</f>
      </c>
      <c r="M15">
        <f>PRODUCT(D15,G15,J15)</f>
      </c>
      <c r="N15">
        <f>PRODUCT(E15,H15,K15)</f>
      </c>
      <c r="O15" s="1">
        <f>POWER(L15,1/3)</f>
      </c>
      <c r="P15" s="1">
        <f>POWER(M15,1/3)</f>
      </c>
      <c r="Q15" s="1">
        <f>POWER(N15,1/3)</f>
      </c>
    </row>
    <row r="16">
      <c r="A16">
        <v>11</v>
      </c>
      <c r="B16" t="str">
        <v>CP2_vs_CP5</v>
      </c>
      <c r="C16">
        <f>'INPUT_SLIDER'!K31</f>
      </c>
      <c r="D16">
        <f>'INPUT_SLIDER'!L31</f>
      </c>
      <c r="E16">
        <f>'INPUT_SLIDER'!M31</f>
      </c>
      <c r="F16">
        <f>'INPUT_SLIDER'!K71</f>
      </c>
      <c r="G16">
        <f>'INPUT_SLIDER'!L71</f>
      </c>
      <c r="H16">
        <f>'INPUT_SLIDER'!M71</f>
      </c>
      <c r="I16">
        <f>'INPUT_SLIDER'!K111</f>
      </c>
      <c r="J16">
        <f>'INPUT_SLIDER'!L111</f>
      </c>
      <c r="K16">
        <f>'INPUT_SLIDER'!M111</f>
      </c>
      <c r="L16">
        <f>PRODUCT(C16,F16,I16)</f>
      </c>
      <c r="M16">
        <f>PRODUCT(D16,G16,J16)</f>
      </c>
      <c r="N16">
        <f>PRODUCT(E16,H16,K16)</f>
      </c>
      <c r="O16" s="1">
        <f>POWER(L16,1/3)</f>
      </c>
      <c r="P16" s="1">
        <f>POWER(M16,1/3)</f>
      </c>
      <c r="Q16" s="1">
        <f>POWER(N16,1/3)</f>
      </c>
    </row>
    <row r="17">
      <c r="A17">
        <v>12</v>
      </c>
      <c r="B17" t="str">
        <v>CP2_vs_CP6</v>
      </c>
      <c r="C17">
        <f>'INPUT_SLIDER'!K32</f>
      </c>
      <c r="D17">
        <f>'INPUT_SLIDER'!L32</f>
      </c>
      <c r="E17">
        <f>'INPUT_SLIDER'!M32</f>
      </c>
      <c r="F17">
        <f>'INPUT_SLIDER'!K72</f>
      </c>
      <c r="G17">
        <f>'INPUT_SLIDER'!L72</f>
      </c>
      <c r="H17">
        <f>'INPUT_SLIDER'!M72</f>
      </c>
      <c r="I17">
        <f>'INPUT_SLIDER'!K112</f>
      </c>
      <c r="J17">
        <f>'INPUT_SLIDER'!L112</f>
      </c>
      <c r="K17">
        <f>'INPUT_SLIDER'!M112</f>
      </c>
      <c r="L17">
        <f>PRODUCT(C17,F17,I17)</f>
      </c>
      <c r="M17">
        <f>PRODUCT(D17,G17,J17)</f>
      </c>
      <c r="N17">
        <f>PRODUCT(E17,H17,K17)</f>
      </c>
      <c r="O17" s="1">
        <f>POWER(L17,1/3)</f>
      </c>
      <c r="P17" s="1">
        <f>POWER(M17,1/3)</f>
      </c>
      <c r="Q17" s="1">
        <f>POWER(N17,1/3)</f>
      </c>
    </row>
    <row r="18">
      <c r="A18">
        <v>13</v>
      </c>
      <c r="B18" t="str">
        <v>CP2_vs_CP7</v>
      </c>
      <c r="C18">
        <f>'INPUT_SLIDER'!K33</f>
      </c>
      <c r="D18">
        <f>'INPUT_SLIDER'!L33</f>
      </c>
      <c r="E18">
        <f>'INPUT_SLIDER'!M33</f>
      </c>
      <c r="F18">
        <f>'INPUT_SLIDER'!K73</f>
      </c>
      <c r="G18">
        <f>'INPUT_SLIDER'!L73</f>
      </c>
      <c r="H18">
        <f>'INPUT_SLIDER'!M73</f>
      </c>
      <c r="I18">
        <f>'INPUT_SLIDER'!K113</f>
      </c>
      <c r="J18">
        <f>'INPUT_SLIDER'!L113</f>
      </c>
      <c r="K18">
        <f>'INPUT_SLIDER'!M113</f>
      </c>
      <c r="L18">
        <f>PRODUCT(C18,F18,I18)</f>
      </c>
      <c r="M18">
        <f>PRODUCT(D18,G18,J18)</f>
      </c>
      <c r="N18">
        <f>PRODUCT(E18,H18,K18)</f>
      </c>
      <c r="O18" s="1">
        <f>POWER(L18,1/3)</f>
      </c>
      <c r="P18" s="1">
        <f>POWER(M18,1/3)</f>
      </c>
      <c r="Q18" s="1">
        <f>POWER(N18,1/3)</f>
      </c>
    </row>
    <row r="19">
      <c r="A19">
        <v>14</v>
      </c>
      <c r="B19" t="str">
        <v>CP2_vs_CP8</v>
      </c>
      <c r="C19">
        <f>'INPUT_SLIDER'!K34</f>
      </c>
      <c r="D19">
        <f>'INPUT_SLIDER'!L34</f>
      </c>
      <c r="E19">
        <f>'INPUT_SLIDER'!M34</f>
      </c>
      <c r="F19">
        <f>'INPUT_SLIDER'!K74</f>
      </c>
      <c r="G19">
        <f>'INPUT_SLIDER'!L74</f>
      </c>
      <c r="H19">
        <f>'INPUT_SLIDER'!M74</f>
      </c>
      <c r="I19">
        <f>'INPUT_SLIDER'!K114</f>
      </c>
      <c r="J19">
        <f>'INPUT_SLIDER'!L114</f>
      </c>
      <c r="K19">
        <f>'INPUT_SLIDER'!M114</f>
      </c>
      <c r="L19">
        <f>PRODUCT(C19,F19,I19)</f>
      </c>
      <c r="M19">
        <f>PRODUCT(D19,G19,J19)</f>
      </c>
      <c r="N19">
        <f>PRODUCT(E19,H19,K19)</f>
      </c>
      <c r="O19" s="1">
        <f>POWER(L19,1/3)</f>
      </c>
      <c r="P19" s="1">
        <f>POWER(M19,1/3)</f>
      </c>
      <c r="Q19" s="1">
        <f>POWER(N19,1/3)</f>
      </c>
    </row>
    <row r="20">
      <c r="A20">
        <v>15</v>
      </c>
      <c r="B20" t="str">
        <v>CP2_vs_CP9</v>
      </c>
      <c r="C20">
        <f>'INPUT_SLIDER'!K35</f>
      </c>
      <c r="D20">
        <f>'INPUT_SLIDER'!L35</f>
      </c>
      <c r="E20">
        <f>'INPUT_SLIDER'!M35</f>
      </c>
      <c r="F20">
        <f>'INPUT_SLIDER'!K75</f>
      </c>
      <c r="G20">
        <f>'INPUT_SLIDER'!L75</f>
      </c>
      <c r="H20">
        <f>'INPUT_SLIDER'!M75</f>
      </c>
      <c r="I20">
        <f>'INPUT_SLIDER'!K115</f>
      </c>
      <c r="J20">
        <f>'INPUT_SLIDER'!L115</f>
      </c>
      <c r="K20">
        <f>'INPUT_SLIDER'!M115</f>
      </c>
      <c r="L20">
        <f>PRODUCT(C20,F20,I20)</f>
      </c>
      <c r="M20">
        <f>PRODUCT(D20,G20,J20)</f>
      </c>
      <c r="N20">
        <f>PRODUCT(E20,H20,K20)</f>
      </c>
      <c r="O20" s="1">
        <f>POWER(L20,1/3)</f>
      </c>
      <c r="P20" s="1">
        <f>POWER(M20,1/3)</f>
      </c>
      <c r="Q20" s="1">
        <f>POWER(N20,1/3)</f>
      </c>
    </row>
    <row r="21">
      <c r="A21">
        <v>16</v>
      </c>
      <c r="B21" t="str">
        <v>CP3_vs_CP4</v>
      </c>
      <c r="C21">
        <f>'INPUT_SLIDER'!K36</f>
      </c>
      <c r="D21">
        <f>'INPUT_SLIDER'!L36</f>
      </c>
      <c r="E21">
        <f>'INPUT_SLIDER'!M36</f>
      </c>
      <c r="F21">
        <f>'INPUT_SLIDER'!K76</f>
      </c>
      <c r="G21">
        <f>'INPUT_SLIDER'!L76</f>
      </c>
      <c r="H21">
        <f>'INPUT_SLIDER'!M76</f>
      </c>
      <c r="I21">
        <f>'INPUT_SLIDER'!K116</f>
      </c>
      <c r="J21">
        <f>'INPUT_SLIDER'!L116</f>
      </c>
      <c r="K21">
        <f>'INPUT_SLIDER'!M116</f>
      </c>
      <c r="L21">
        <f>PRODUCT(C21,F21,I21)</f>
      </c>
      <c r="M21">
        <f>PRODUCT(D21,G21,J21)</f>
      </c>
      <c r="N21">
        <f>PRODUCT(E21,H21,K21)</f>
      </c>
      <c r="O21" s="1">
        <f>POWER(L21,1/3)</f>
      </c>
      <c r="P21" s="1">
        <f>POWER(M21,1/3)</f>
      </c>
      <c r="Q21" s="1">
        <f>POWER(N21,1/3)</f>
      </c>
    </row>
    <row r="22">
      <c r="A22">
        <v>17</v>
      </c>
      <c r="B22" t="str">
        <v>CP3_vs_CP5</v>
      </c>
      <c r="C22">
        <f>'INPUT_SLIDER'!K37</f>
      </c>
      <c r="D22">
        <f>'INPUT_SLIDER'!L37</f>
      </c>
      <c r="E22">
        <f>'INPUT_SLIDER'!M37</f>
      </c>
      <c r="F22">
        <f>'INPUT_SLIDER'!K77</f>
      </c>
      <c r="G22">
        <f>'INPUT_SLIDER'!L77</f>
      </c>
      <c r="H22">
        <f>'INPUT_SLIDER'!M77</f>
      </c>
      <c r="I22">
        <f>'INPUT_SLIDER'!K117</f>
      </c>
      <c r="J22">
        <f>'INPUT_SLIDER'!L117</f>
      </c>
      <c r="K22">
        <f>'INPUT_SLIDER'!M117</f>
      </c>
      <c r="L22">
        <f>PRODUCT(C22,F22,I22)</f>
      </c>
      <c r="M22">
        <f>PRODUCT(D22,G22,J22)</f>
      </c>
      <c r="N22">
        <f>PRODUCT(E22,H22,K22)</f>
      </c>
      <c r="O22" s="1">
        <f>POWER(L22,1/3)</f>
      </c>
      <c r="P22" s="1">
        <f>POWER(M22,1/3)</f>
      </c>
      <c r="Q22" s="1">
        <f>POWER(N22,1/3)</f>
      </c>
    </row>
    <row r="23">
      <c r="A23">
        <v>18</v>
      </c>
      <c r="B23" t="str">
        <v>CP3_vs_CP6</v>
      </c>
      <c r="C23">
        <f>'INPUT_SLIDER'!K38</f>
      </c>
      <c r="D23">
        <f>'INPUT_SLIDER'!L38</f>
      </c>
      <c r="E23">
        <f>'INPUT_SLIDER'!M38</f>
      </c>
      <c r="F23">
        <f>'INPUT_SLIDER'!K78</f>
      </c>
      <c r="G23">
        <f>'INPUT_SLIDER'!L78</f>
      </c>
      <c r="H23">
        <f>'INPUT_SLIDER'!M78</f>
      </c>
      <c r="I23">
        <f>'INPUT_SLIDER'!K118</f>
      </c>
      <c r="J23">
        <f>'INPUT_SLIDER'!L118</f>
      </c>
      <c r="K23">
        <f>'INPUT_SLIDER'!M118</f>
      </c>
      <c r="L23">
        <f>PRODUCT(C23,F23,I23)</f>
      </c>
      <c r="M23">
        <f>PRODUCT(D23,G23,J23)</f>
      </c>
      <c r="N23">
        <f>PRODUCT(E23,H23,K23)</f>
      </c>
      <c r="O23" s="1">
        <f>POWER(L23,1/3)</f>
      </c>
      <c r="P23" s="1">
        <f>POWER(M23,1/3)</f>
      </c>
      <c r="Q23" s="1">
        <f>POWER(N23,1/3)</f>
      </c>
    </row>
    <row r="24">
      <c r="A24">
        <v>19</v>
      </c>
      <c r="B24" t="str">
        <v>CP3_vs_CP7</v>
      </c>
      <c r="C24">
        <f>'INPUT_SLIDER'!K39</f>
      </c>
      <c r="D24">
        <f>'INPUT_SLIDER'!L39</f>
      </c>
      <c r="E24">
        <f>'INPUT_SLIDER'!M39</f>
      </c>
      <c r="F24">
        <f>'INPUT_SLIDER'!K79</f>
      </c>
      <c r="G24">
        <f>'INPUT_SLIDER'!L79</f>
      </c>
      <c r="H24">
        <f>'INPUT_SLIDER'!M79</f>
      </c>
      <c r="I24">
        <f>'INPUT_SLIDER'!K119</f>
      </c>
      <c r="J24">
        <f>'INPUT_SLIDER'!L119</f>
      </c>
      <c r="K24">
        <f>'INPUT_SLIDER'!M119</f>
      </c>
      <c r="L24">
        <f>PRODUCT(C24,F24,I24)</f>
      </c>
      <c r="M24">
        <f>PRODUCT(D24,G24,J24)</f>
      </c>
      <c r="N24">
        <f>PRODUCT(E24,H24,K24)</f>
      </c>
      <c r="O24" s="1">
        <f>POWER(L24,1/3)</f>
      </c>
      <c r="P24" s="1">
        <f>POWER(M24,1/3)</f>
      </c>
      <c r="Q24" s="1">
        <f>POWER(N24,1/3)</f>
      </c>
    </row>
    <row r="25">
      <c r="A25">
        <v>20</v>
      </c>
      <c r="B25" t="str">
        <v>CP3_vs_CP8</v>
      </c>
      <c r="C25">
        <f>'INPUT_SLIDER'!K40</f>
      </c>
      <c r="D25">
        <f>'INPUT_SLIDER'!L40</f>
      </c>
      <c r="E25">
        <f>'INPUT_SLIDER'!M40</f>
      </c>
      <c r="F25">
        <f>'INPUT_SLIDER'!K80</f>
      </c>
      <c r="G25">
        <f>'INPUT_SLIDER'!L80</f>
      </c>
      <c r="H25">
        <f>'INPUT_SLIDER'!M80</f>
      </c>
      <c r="I25">
        <f>'INPUT_SLIDER'!K120</f>
      </c>
      <c r="J25">
        <f>'INPUT_SLIDER'!L120</f>
      </c>
      <c r="K25">
        <f>'INPUT_SLIDER'!M120</f>
      </c>
      <c r="L25">
        <f>PRODUCT(C25,F25,I25)</f>
      </c>
      <c r="M25">
        <f>PRODUCT(D25,G25,J25)</f>
      </c>
      <c r="N25">
        <f>PRODUCT(E25,H25,K25)</f>
      </c>
      <c r="O25" s="1">
        <f>POWER(L25,1/3)</f>
      </c>
      <c r="P25" s="1">
        <f>POWER(M25,1/3)</f>
      </c>
      <c r="Q25" s="1">
        <f>POWER(N25,1/3)</f>
      </c>
    </row>
    <row r="26">
      <c r="A26">
        <v>21</v>
      </c>
      <c r="B26" t="str">
        <v>CP3_vs_CP9</v>
      </c>
      <c r="C26">
        <f>'INPUT_SLIDER'!K41</f>
      </c>
      <c r="D26">
        <f>'INPUT_SLIDER'!L41</f>
      </c>
      <c r="E26">
        <f>'INPUT_SLIDER'!M41</f>
      </c>
      <c r="F26">
        <f>'INPUT_SLIDER'!K81</f>
      </c>
      <c r="G26">
        <f>'INPUT_SLIDER'!L81</f>
      </c>
      <c r="H26">
        <f>'INPUT_SLIDER'!M81</f>
      </c>
      <c r="I26">
        <f>'INPUT_SLIDER'!K121</f>
      </c>
      <c r="J26">
        <f>'INPUT_SLIDER'!L121</f>
      </c>
      <c r="K26">
        <f>'INPUT_SLIDER'!M121</f>
      </c>
      <c r="L26">
        <f>PRODUCT(C26,F26,I26)</f>
      </c>
      <c r="M26">
        <f>PRODUCT(D26,G26,J26)</f>
      </c>
      <c r="N26">
        <f>PRODUCT(E26,H26,K26)</f>
      </c>
      <c r="O26" s="1">
        <f>POWER(L26,1/3)</f>
      </c>
      <c r="P26" s="1">
        <f>POWER(M26,1/3)</f>
      </c>
      <c r="Q26" s="1">
        <f>POWER(N26,1/3)</f>
      </c>
    </row>
    <row r="27">
      <c r="A27">
        <v>22</v>
      </c>
      <c r="B27" t="str">
        <v>CP4_vs_CP5</v>
      </c>
      <c r="C27">
        <f>'INPUT_SLIDER'!K42</f>
      </c>
      <c r="D27">
        <f>'INPUT_SLIDER'!L42</f>
      </c>
      <c r="E27">
        <f>'INPUT_SLIDER'!M42</f>
      </c>
      <c r="F27">
        <f>'INPUT_SLIDER'!K82</f>
      </c>
      <c r="G27">
        <f>'INPUT_SLIDER'!L82</f>
      </c>
      <c r="H27">
        <f>'INPUT_SLIDER'!M82</f>
      </c>
      <c r="I27">
        <f>'INPUT_SLIDER'!K122</f>
      </c>
      <c r="J27">
        <f>'INPUT_SLIDER'!L122</f>
      </c>
      <c r="K27">
        <f>'INPUT_SLIDER'!M122</f>
      </c>
      <c r="L27">
        <f>PRODUCT(C27,F27,I27)</f>
      </c>
      <c r="M27">
        <f>PRODUCT(D27,G27,J27)</f>
      </c>
      <c r="N27">
        <f>PRODUCT(E27,H27,K27)</f>
      </c>
      <c r="O27" s="1">
        <f>POWER(L27,1/3)</f>
      </c>
      <c r="P27" s="1">
        <f>POWER(M27,1/3)</f>
      </c>
      <c r="Q27" s="1">
        <f>POWER(N27,1/3)</f>
      </c>
    </row>
    <row r="28">
      <c r="A28">
        <v>23</v>
      </c>
      <c r="B28" t="str">
        <v>CP4_vs_CP6</v>
      </c>
      <c r="C28">
        <f>'INPUT_SLIDER'!K43</f>
      </c>
      <c r="D28">
        <f>'INPUT_SLIDER'!L43</f>
      </c>
      <c r="E28">
        <f>'INPUT_SLIDER'!M43</f>
      </c>
      <c r="F28">
        <f>'INPUT_SLIDER'!K83</f>
      </c>
      <c r="G28">
        <f>'INPUT_SLIDER'!L83</f>
      </c>
      <c r="H28">
        <f>'INPUT_SLIDER'!M83</f>
      </c>
      <c r="I28">
        <f>'INPUT_SLIDER'!K123</f>
      </c>
      <c r="J28">
        <f>'INPUT_SLIDER'!L123</f>
      </c>
      <c r="K28">
        <f>'INPUT_SLIDER'!M123</f>
      </c>
      <c r="L28">
        <f>PRODUCT(C28,F28,I28)</f>
      </c>
      <c r="M28">
        <f>PRODUCT(D28,G28,J28)</f>
      </c>
      <c r="N28">
        <f>PRODUCT(E28,H28,K28)</f>
      </c>
      <c r="O28" s="1">
        <f>POWER(L28,1/3)</f>
      </c>
      <c r="P28" s="1">
        <f>POWER(M28,1/3)</f>
      </c>
      <c r="Q28" s="1">
        <f>POWER(N28,1/3)</f>
      </c>
    </row>
    <row r="29">
      <c r="A29">
        <v>24</v>
      </c>
      <c r="B29" t="str">
        <v>CP4_vs_CP7</v>
      </c>
      <c r="C29">
        <f>'INPUT_SLIDER'!K44</f>
      </c>
      <c r="D29">
        <f>'INPUT_SLIDER'!L44</f>
      </c>
      <c r="E29">
        <f>'INPUT_SLIDER'!M44</f>
      </c>
      <c r="F29">
        <f>'INPUT_SLIDER'!K84</f>
      </c>
      <c r="G29">
        <f>'INPUT_SLIDER'!L84</f>
      </c>
      <c r="H29">
        <f>'INPUT_SLIDER'!M84</f>
      </c>
      <c r="I29">
        <f>'INPUT_SLIDER'!K124</f>
      </c>
      <c r="J29">
        <f>'INPUT_SLIDER'!L124</f>
      </c>
      <c r="K29">
        <f>'INPUT_SLIDER'!M124</f>
      </c>
      <c r="L29">
        <f>PRODUCT(C29,F29,I29)</f>
      </c>
      <c r="M29">
        <f>PRODUCT(D29,G29,J29)</f>
      </c>
      <c r="N29">
        <f>PRODUCT(E29,H29,K29)</f>
      </c>
      <c r="O29" s="1">
        <f>POWER(L29,1/3)</f>
      </c>
      <c r="P29" s="1">
        <f>POWER(M29,1/3)</f>
      </c>
      <c r="Q29" s="1">
        <f>POWER(N29,1/3)</f>
      </c>
    </row>
    <row r="30">
      <c r="A30">
        <v>25</v>
      </c>
      <c r="B30" t="str">
        <v>CP4_vs_CP8</v>
      </c>
      <c r="C30">
        <f>'INPUT_SLIDER'!K45</f>
      </c>
      <c r="D30">
        <f>'INPUT_SLIDER'!L45</f>
      </c>
      <c r="E30">
        <f>'INPUT_SLIDER'!M45</f>
      </c>
      <c r="F30">
        <f>'INPUT_SLIDER'!K85</f>
      </c>
      <c r="G30">
        <f>'INPUT_SLIDER'!L85</f>
      </c>
      <c r="H30">
        <f>'INPUT_SLIDER'!M85</f>
      </c>
      <c r="I30">
        <f>'INPUT_SLIDER'!K125</f>
      </c>
      <c r="J30">
        <f>'INPUT_SLIDER'!L125</f>
      </c>
      <c r="K30">
        <f>'INPUT_SLIDER'!M125</f>
      </c>
      <c r="L30">
        <f>PRODUCT(C30,F30,I30)</f>
      </c>
      <c r="M30">
        <f>PRODUCT(D30,G30,J30)</f>
      </c>
      <c r="N30">
        <f>PRODUCT(E30,H30,K30)</f>
      </c>
      <c r="O30" s="1">
        <f>POWER(L30,1/3)</f>
      </c>
      <c r="P30" s="1">
        <f>POWER(M30,1/3)</f>
      </c>
      <c r="Q30" s="1">
        <f>POWER(N30,1/3)</f>
      </c>
    </row>
    <row r="31">
      <c r="A31">
        <v>26</v>
      </c>
      <c r="B31" t="str">
        <v>CP4_vs_CP9</v>
      </c>
      <c r="C31">
        <f>'INPUT_SLIDER'!K46</f>
      </c>
      <c r="D31">
        <f>'INPUT_SLIDER'!L46</f>
      </c>
      <c r="E31">
        <f>'INPUT_SLIDER'!M46</f>
      </c>
      <c r="F31">
        <f>'INPUT_SLIDER'!K86</f>
      </c>
      <c r="G31">
        <f>'INPUT_SLIDER'!L86</f>
      </c>
      <c r="H31">
        <f>'INPUT_SLIDER'!M86</f>
      </c>
      <c r="I31">
        <f>'INPUT_SLIDER'!K126</f>
      </c>
      <c r="J31">
        <f>'INPUT_SLIDER'!L126</f>
      </c>
      <c r="K31">
        <f>'INPUT_SLIDER'!M126</f>
      </c>
      <c r="L31">
        <f>PRODUCT(C31,F31,I31)</f>
      </c>
      <c r="M31">
        <f>PRODUCT(D31,G31,J31)</f>
      </c>
      <c r="N31">
        <f>PRODUCT(E31,H31,K31)</f>
      </c>
      <c r="O31" s="1">
        <f>POWER(L31,1/3)</f>
      </c>
      <c r="P31" s="1">
        <f>POWER(M31,1/3)</f>
      </c>
      <c r="Q31" s="1">
        <f>POWER(N31,1/3)</f>
      </c>
    </row>
    <row r="32">
      <c r="A32">
        <v>27</v>
      </c>
      <c r="B32" t="str">
        <v>CP5_vs_CP6</v>
      </c>
      <c r="C32">
        <f>'INPUT_SLIDER'!K47</f>
      </c>
      <c r="D32">
        <f>'INPUT_SLIDER'!L47</f>
      </c>
      <c r="E32">
        <f>'INPUT_SLIDER'!M47</f>
      </c>
      <c r="F32">
        <f>'INPUT_SLIDER'!K87</f>
      </c>
      <c r="G32">
        <f>'INPUT_SLIDER'!L87</f>
      </c>
      <c r="H32">
        <f>'INPUT_SLIDER'!M87</f>
      </c>
      <c r="I32">
        <f>'INPUT_SLIDER'!K127</f>
      </c>
      <c r="J32">
        <f>'INPUT_SLIDER'!L127</f>
      </c>
      <c r="K32">
        <f>'INPUT_SLIDER'!M127</f>
      </c>
      <c r="L32">
        <f>PRODUCT(C32,F32,I32)</f>
      </c>
      <c r="M32">
        <f>PRODUCT(D32,G32,J32)</f>
      </c>
      <c r="N32">
        <f>PRODUCT(E32,H32,K32)</f>
      </c>
      <c r="O32" s="1">
        <f>POWER(L32,1/3)</f>
      </c>
      <c r="P32" s="1">
        <f>POWER(M32,1/3)</f>
      </c>
      <c r="Q32" s="1">
        <f>POWER(N32,1/3)</f>
      </c>
    </row>
    <row r="33">
      <c r="A33">
        <v>28</v>
      </c>
      <c r="B33" t="str">
        <v>CP5_vs_CP7</v>
      </c>
      <c r="C33">
        <f>'INPUT_SLIDER'!K48</f>
      </c>
      <c r="D33">
        <f>'INPUT_SLIDER'!L48</f>
      </c>
      <c r="E33">
        <f>'INPUT_SLIDER'!M48</f>
      </c>
      <c r="F33">
        <f>'INPUT_SLIDER'!K88</f>
      </c>
      <c r="G33">
        <f>'INPUT_SLIDER'!L88</f>
      </c>
      <c r="H33">
        <f>'INPUT_SLIDER'!M88</f>
      </c>
      <c r="I33">
        <f>'INPUT_SLIDER'!K128</f>
      </c>
      <c r="J33">
        <f>'INPUT_SLIDER'!L128</f>
      </c>
      <c r="K33">
        <f>'INPUT_SLIDER'!M128</f>
      </c>
      <c r="L33">
        <f>PRODUCT(C33,F33,I33)</f>
      </c>
      <c r="M33">
        <f>PRODUCT(D33,G33,J33)</f>
      </c>
      <c r="N33">
        <f>PRODUCT(E33,H33,K33)</f>
      </c>
      <c r="O33" s="1">
        <f>POWER(L33,1/3)</f>
      </c>
      <c r="P33" s="1">
        <f>POWER(M33,1/3)</f>
      </c>
      <c r="Q33" s="1">
        <f>POWER(N33,1/3)</f>
      </c>
    </row>
    <row r="34">
      <c r="A34">
        <v>29</v>
      </c>
      <c r="B34" t="str">
        <v>CP5_vs_CP8</v>
      </c>
      <c r="C34">
        <f>'INPUT_SLIDER'!K49</f>
      </c>
      <c r="D34">
        <f>'INPUT_SLIDER'!L49</f>
      </c>
      <c r="E34">
        <f>'INPUT_SLIDER'!M49</f>
      </c>
      <c r="F34">
        <f>'INPUT_SLIDER'!K89</f>
      </c>
      <c r="G34">
        <f>'INPUT_SLIDER'!L89</f>
      </c>
      <c r="H34">
        <f>'INPUT_SLIDER'!M89</f>
      </c>
      <c r="I34">
        <f>'INPUT_SLIDER'!K129</f>
      </c>
      <c r="J34">
        <f>'INPUT_SLIDER'!L129</f>
      </c>
      <c r="K34">
        <f>'INPUT_SLIDER'!M129</f>
      </c>
      <c r="L34">
        <f>PRODUCT(C34,F34,I34)</f>
      </c>
      <c r="M34">
        <f>PRODUCT(D34,G34,J34)</f>
      </c>
      <c r="N34">
        <f>PRODUCT(E34,H34,K34)</f>
      </c>
      <c r="O34" s="1">
        <f>POWER(L34,1/3)</f>
      </c>
      <c r="P34" s="1">
        <f>POWER(M34,1/3)</f>
      </c>
      <c r="Q34" s="1">
        <f>POWER(N34,1/3)</f>
      </c>
    </row>
    <row r="35">
      <c r="A35">
        <v>30</v>
      </c>
      <c r="B35" t="str">
        <v>CP5_vs_CP9</v>
      </c>
      <c r="C35">
        <f>'INPUT_SLIDER'!K50</f>
      </c>
      <c r="D35">
        <f>'INPUT_SLIDER'!L50</f>
      </c>
      <c r="E35">
        <f>'INPUT_SLIDER'!M50</f>
      </c>
      <c r="F35">
        <f>'INPUT_SLIDER'!K90</f>
      </c>
      <c r="G35">
        <f>'INPUT_SLIDER'!L90</f>
      </c>
      <c r="H35">
        <f>'INPUT_SLIDER'!M90</f>
      </c>
      <c r="I35">
        <f>'INPUT_SLIDER'!K130</f>
      </c>
      <c r="J35">
        <f>'INPUT_SLIDER'!L130</f>
      </c>
      <c r="K35">
        <f>'INPUT_SLIDER'!M130</f>
      </c>
      <c r="L35">
        <f>PRODUCT(C35,F35,I35)</f>
      </c>
      <c r="M35">
        <f>PRODUCT(D35,G35,J35)</f>
      </c>
      <c r="N35">
        <f>PRODUCT(E35,H35,K35)</f>
      </c>
      <c r="O35" s="1">
        <f>POWER(L35,1/3)</f>
      </c>
      <c r="P35" s="1">
        <f>POWER(M35,1/3)</f>
      </c>
      <c r="Q35" s="1">
        <f>POWER(N35,1/3)</f>
      </c>
    </row>
    <row r="36">
      <c r="A36">
        <v>31</v>
      </c>
      <c r="B36" t="str">
        <v>CP6_vs_CP7</v>
      </c>
      <c r="C36">
        <f>'INPUT_SLIDER'!K51</f>
      </c>
      <c r="D36">
        <f>'INPUT_SLIDER'!L51</f>
      </c>
      <c r="E36">
        <f>'INPUT_SLIDER'!M51</f>
      </c>
      <c r="F36">
        <f>'INPUT_SLIDER'!K91</f>
      </c>
      <c r="G36">
        <f>'INPUT_SLIDER'!L91</f>
      </c>
      <c r="H36">
        <f>'INPUT_SLIDER'!M91</f>
      </c>
      <c r="I36">
        <f>'INPUT_SLIDER'!K131</f>
      </c>
      <c r="J36">
        <f>'INPUT_SLIDER'!L131</f>
      </c>
      <c r="K36">
        <f>'INPUT_SLIDER'!M131</f>
      </c>
      <c r="L36">
        <f>PRODUCT(C36,F36,I36)</f>
      </c>
      <c r="M36">
        <f>PRODUCT(D36,G36,J36)</f>
      </c>
      <c r="N36">
        <f>PRODUCT(E36,H36,K36)</f>
      </c>
      <c r="O36" s="1">
        <f>POWER(L36,1/3)</f>
      </c>
      <c r="P36" s="1">
        <f>POWER(M36,1/3)</f>
      </c>
      <c r="Q36" s="1">
        <f>POWER(N36,1/3)</f>
      </c>
    </row>
    <row r="37">
      <c r="A37">
        <v>32</v>
      </c>
      <c r="B37" t="str">
        <v>CP6_vs_CP8</v>
      </c>
      <c r="C37">
        <f>'INPUT_SLIDER'!K52</f>
      </c>
      <c r="D37">
        <f>'INPUT_SLIDER'!L52</f>
      </c>
      <c r="E37">
        <f>'INPUT_SLIDER'!M52</f>
      </c>
      <c r="F37">
        <f>'INPUT_SLIDER'!K92</f>
      </c>
      <c r="G37">
        <f>'INPUT_SLIDER'!L92</f>
      </c>
      <c r="H37">
        <f>'INPUT_SLIDER'!M92</f>
      </c>
      <c r="I37">
        <f>'INPUT_SLIDER'!K132</f>
      </c>
      <c r="J37">
        <f>'INPUT_SLIDER'!L132</f>
      </c>
      <c r="K37">
        <f>'INPUT_SLIDER'!M132</f>
      </c>
      <c r="L37">
        <f>PRODUCT(C37,F37,I37)</f>
      </c>
      <c r="M37">
        <f>PRODUCT(D37,G37,J37)</f>
      </c>
      <c r="N37">
        <f>PRODUCT(E37,H37,K37)</f>
      </c>
      <c r="O37" s="1">
        <f>POWER(L37,1/3)</f>
      </c>
      <c r="P37" s="1">
        <f>POWER(M37,1/3)</f>
      </c>
      <c r="Q37" s="1">
        <f>POWER(N37,1/3)</f>
      </c>
    </row>
    <row r="38">
      <c r="A38">
        <v>33</v>
      </c>
      <c r="B38" t="str">
        <v>CP6_vs_CP9</v>
      </c>
      <c r="C38">
        <f>'INPUT_SLIDER'!K53</f>
      </c>
      <c r="D38">
        <f>'INPUT_SLIDER'!L53</f>
      </c>
      <c r="E38">
        <f>'INPUT_SLIDER'!M53</f>
      </c>
      <c r="F38">
        <f>'INPUT_SLIDER'!K93</f>
      </c>
      <c r="G38">
        <f>'INPUT_SLIDER'!L93</f>
      </c>
      <c r="H38">
        <f>'INPUT_SLIDER'!M93</f>
      </c>
      <c r="I38">
        <f>'INPUT_SLIDER'!K133</f>
      </c>
      <c r="J38">
        <f>'INPUT_SLIDER'!L133</f>
      </c>
      <c r="K38">
        <f>'INPUT_SLIDER'!M133</f>
      </c>
      <c r="L38">
        <f>PRODUCT(C38,F38,I38)</f>
      </c>
      <c r="M38">
        <f>PRODUCT(D38,G38,J38)</f>
      </c>
      <c r="N38">
        <f>PRODUCT(E38,H38,K38)</f>
      </c>
      <c r="O38" s="1">
        <f>POWER(L38,1/3)</f>
      </c>
      <c r="P38" s="1">
        <f>POWER(M38,1/3)</f>
      </c>
      <c r="Q38" s="1">
        <f>POWER(N38,1/3)</f>
      </c>
    </row>
    <row r="39">
      <c r="A39">
        <v>34</v>
      </c>
      <c r="B39" t="str">
        <v>CP7_vs_CP8</v>
      </c>
      <c r="C39">
        <f>'INPUT_SLIDER'!K54</f>
      </c>
      <c r="D39">
        <f>'INPUT_SLIDER'!L54</f>
      </c>
      <c r="E39">
        <f>'INPUT_SLIDER'!M54</f>
      </c>
      <c r="F39">
        <f>'INPUT_SLIDER'!K94</f>
      </c>
      <c r="G39">
        <f>'INPUT_SLIDER'!L94</f>
      </c>
      <c r="H39">
        <f>'INPUT_SLIDER'!M94</f>
      </c>
      <c r="I39">
        <f>'INPUT_SLIDER'!K134</f>
      </c>
      <c r="J39">
        <f>'INPUT_SLIDER'!L134</f>
      </c>
      <c r="K39">
        <f>'INPUT_SLIDER'!M134</f>
      </c>
      <c r="L39">
        <f>PRODUCT(C39,F39,I39)</f>
      </c>
      <c r="M39">
        <f>PRODUCT(D39,G39,J39)</f>
      </c>
      <c r="N39">
        <f>PRODUCT(E39,H39,K39)</f>
      </c>
      <c r="O39" s="1">
        <f>POWER(L39,1/3)</f>
      </c>
      <c r="P39" s="1">
        <f>POWER(M39,1/3)</f>
      </c>
      <c r="Q39" s="1">
        <f>POWER(N39,1/3)</f>
      </c>
    </row>
    <row r="40">
      <c r="A40">
        <v>35</v>
      </c>
      <c r="B40" t="str">
        <v>CP7_vs_CP9</v>
      </c>
      <c r="C40">
        <f>'INPUT_SLIDER'!K55</f>
      </c>
      <c r="D40">
        <f>'INPUT_SLIDER'!L55</f>
      </c>
      <c r="E40">
        <f>'INPUT_SLIDER'!M55</f>
      </c>
      <c r="F40">
        <f>'INPUT_SLIDER'!K95</f>
      </c>
      <c r="G40">
        <f>'INPUT_SLIDER'!L95</f>
      </c>
      <c r="H40">
        <f>'INPUT_SLIDER'!M95</f>
      </c>
      <c r="I40">
        <f>'INPUT_SLIDER'!K135</f>
      </c>
      <c r="J40">
        <f>'INPUT_SLIDER'!L135</f>
      </c>
      <c r="K40">
        <f>'INPUT_SLIDER'!M135</f>
      </c>
      <c r="L40">
        <f>PRODUCT(C40,F40,I40)</f>
      </c>
      <c r="M40">
        <f>PRODUCT(D40,G40,J40)</f>
      </c>
      <c r="N40">
        <f>PRODUCT(E40,H40,K40)</f>
      </c>
      <c r="O40" s="1">
        <f>POWER(L40,1/3)</f>
      </c>
      <c r="P40" s="1">
        <f>POWER(M40,1/3)</f>
      </c>
      <c r="Q40" s="1">
        <f>POWER(N40,1/3)</f>
      </c>
    </row>
    <row r="41">
      <c r="A41">
        <v>36</v>
      </c>
      <c r="B41" t="str">
        <v>CP8_vs_CP9</v>
      </c>
      <c r="C41">
        <f>'INPUT_SLIDER'!K56</f>
      </c>
      <c r="D41">
        <f>'INPUT_SLIDER'!L56</f>
      </c>
      <c r="E41">
        <f>'INPUT_SLIDER'!M56</f>
      </c>
      <c r="F41">
        <f>'INPUT_SLIDER'!K96</f>
      </c>
      <c r="G41">
        <f>'INPUT_SLIDER'!L96</f>
      </c>
      <c r="H41">
        <f>'INPUT_SLIDER'!M96</f>
      </c>
      <c r="I41">
        <f>'INPUT_SLIDER'!K136</f>
      </c>
      <c r="J41">
        <f>'INPUT_SLIDER'!L136</f>
      </c>
      <c r="K41">
        <f>'INPUT_SLIDER'!M136</f>
      </c>
      <c r="L41">
        <f>PRODUCT(C41,F41,I41)</f>
      </c>
      <c r="M41">
        <f>PRODUCT(D41,G41,J41)</f>
      </c>
      <c r="N41">
        <f>PRODUCT(E41,H41,K41)</f>
      </c>
      <c r="O41" s="1">
        <f>POWER(L41,1/3)</f>
      </c>
      <c r="P41" s="1">
        <f>POWER(M41,1/3)</f>
      </c>
      <c r="Q41" s="1">
        <f>POWER(N41,1/3)</f>
      </c>
    </row>
  </sheetData>
  <ignoredErrors>
    <ignoredError numberStoredAsText="1" sqref="A1:R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</cols>
  <sheetData>
    <row r="1">
      <c r="A1" t="str">
        <v>MATRIKS TFN AGREGAT 9×9 — Hasil Geometric Mean</v>
      </c>
    </row>
    <row r="2">
      <c r="A2" t="str">
        <v>Setiap sel (i,j) berisi TFN (l, m, u). Diagonal = (1,1,1). Lower triangle = reciprocal.</v>
      </c>
    </row>
    <row r="4">
      <c r="A4" t="str">
        <v>MATRIKS TFN — Komponen l (Lower)</v>
      </c>
    </row>
    <row r="5">
      <c r="A5" t="str">
        <v/>
      </c>
      <c r="B5" t="str">
        <v>CP1</v>
      </c>
      <c r="C5" t="str">
        <v>CP2</v>
      </c>
      <c r="D5" t="str">
        <v>CP3</v>
      </c>
      <c r="E5" t="str">
        <v>CP4</v>
      </c>
      <c r="F5" t="str">
        <v>CP5</v>
      </c>
      <c r="G5" t="str">
        <v>CP6</v>
      </c>
      <c r="H5" t="str">
        <v>CP7</v>
      </c>
      <c r="I5" t="str">
        <v>CP8</v>
      </c>
      <c r="J5" t="str">
        <v>CP9</v>
      </c>
      <c r="K5" t="str">
        <v>Σ Baris</v>
      </c>
    </row>
    <row r="6">
      <c r="A6" t="str">
        <v>CP1</v>
      </c>
      <c r="B6">
        <v>1</v>
      </c>
      <c r="C6" s="1">
        <f>'GEOMETRIC_MEAN'!O6</f>
      </c>
      <c r="D6" s="1">
        <f>'GEOMETRIC_MEAN'!O7</f>
      </c>
      <c r="E6" s="1">
        <f>'GEOMETRIC_MEAN'!O8</f>
      </c>
      <c r="F6" s="1">
        <f>'GEOMETRIC_MEAN'!O9</f>
      </c>
      <c r="G6" s="1">
        <f>'GEOMETRIC_MEAN'!O10</f>
      </c>
      <c r="H6" s="1">
        <f>'GEOMETRIC_MEAN'!O11</f>
      </c>
      <c r="I6" s="1">
        <f>'GEOMETRIC_MEAN'!O12</f>
      </c>
      <c r="J6" s="1">
        <f>'GEOMETRIC_MEAN'!O13</f>
      </c>
      <c r="K6" s="1">
        <f>SUM(B6:J6)</f>
      </c>
    </row>
    <row r="7">
      <c r="A7" t="str">
        <v>CP2</v>
      </c>
      <c r="B7" s="1">
        <f>1/'GEOMETRIC_MEAN'!Q6</f>
      </c>
      <c r="C7">
        <v>1</v>
      </c>
      <c r="D7" s="1">
        <f>'GEOMETRIC_MEAN'!O14</f>
      </c>
      <c r="E7" s="1">
        <f>'GEOMETRIC_MEAN'!O15</f>
      </c>
      <c r="F7" s="1">
        <f>'GEOMETRIC_MEAN'!O16</f>
      </c>
      <c r="G7" s="1">
        <f>'GEOMETRIC_MEAN'!O17</f>
      </c>
      <c r="H7" s="1">
        <f>'GEOMETRIC_MEAN'!O18</f>
      </c>
      <c r="I7" s="1">
        <f>'GEOMETRIC_MEAN'!O19</f>
      </c>
      <c r="J7" s="1">
        <f>'GEOMETRIC_MEAN'!O20</f>
      </c>
      <c r="K7" s="1">
        <f>SUM(B7:J7)</f>
      </c>
    </row>
    <row r="8">
      <c r="A8" t="str">
        <v>CP3</v>
      </c>
      <c r="B8" s="1">
        <f>1/'GEOMETRIC_MEAN'!Q7</f>
      </c>
      <c r="C8" s="1">
        <f>1/'GEOMETRIC_MEAN'!Q14</f>
      </c>
      <c r="D8">
        <v>1</v>
      </c>
      <c r="E8" s="1">
        <f>'GEOMETRIC_MEAN'!O21</f>
      </c>
      <c r="F8" s="1">
        <f>'GEOMETRIC_MEAN'!O22</f>
      </c>
      <c r="G8" s="1">
        <f>'GEOMETRIC_MEAN'!O23</f>
      </c>
      <c r="H8" s="1">
        <f>'GEOMETRIC_MEAN'!O24</f>
      </c>
      <c r="I8" s="1">
        <f>'GEOMETRIC_MEAN'!O25</f>
      </c>
      <c r="J8" s="1">
        <f>'GEOMETRIC_MEAN'!O26</f>
      </c>
      <c r="K8" s="1">
        <f>SUM(B8:J8)</f>
      </c>
    </row>
    <row r="9">
      <c r="A9" t="str">
        <v>CP4</v>
      </c>
      <c r="B9" s="1">
        <f>1/'GEOMETRIC_MEAN'!Q8</f>
      </c>
      <c r="C9" s="1">
        <f>1/'GEOMETRIC_MEAN'!Q15</f>
      </c>
      <c r="D9" s="1">
        <f>1/'GEOMETRIC_MEAN'!Q21</f>
      </c>
      <c r="E9">
        <v>1</v>
      </c>
      <c r="F9" s="1">
        <f>'GEOMETRIC_MEAN'!O27</f>
      </c>
      <c r="G9" s="1">
        <f>'GEOMETRIC_MEAN'!O28</f>
      </c>
      <c r="H9" s="1">
        <f>'GEOMETRIC_MEAN'!O29</f>
      </c>
      <c r="I9" s="1">
        <f>'GEOMETRIC_MEAN'!O30</f>
      </c>
      <c r="J9" s="1">
        <f>'GEOMETRIC_MEAN'!O31</f>
      </c>
      <c r="K9" s="1">
        <f>SUM(B9:J9)</f>
      </c>
    </row>
    <row r="10">
      <c r="A10" t="str">
        <v>CP5</v>
      </c>
      <c r="B10" s="1">
        <f>1/'GEOMETRIC_MEAN'!Q9</f>
      </c>
      <c r="C10" s="1">
        <f>1/'GEOMETRIC_MEAN'!Q16</f>
      </c>
      <c r="D10" s="1">
        <f>1/'GEOMETRIC_MEAN'!Q22</f>
      </c>
      <c r="E10" s="1">
        <f>1/'GEOMETRIC_MEAN'!Q27</f>
      </c>
      <c r="F10">
        <v>1</v>
      </c>
      <c r="G10" s="1">
        <f>'GEOMETRIC_MEAN'!O32</f>
      </c>
      <c r="H10" s="1">
        <f>'GEOMETRIC_MEAN'!O33</f>
      </c>
      <c r="I10" s="1">
        <f>'GEOMETRIC_MEAN'!O34</f>
      </c>
      <c r="J10" s="1">
        <f>'GEOMETRIC_MEAN'!O35</f>
      </c>
      <c r="K10" s="1">
        <f>SUM(B10:J10)</f>
      </c>
    </row>
    <row r="11">
      <c r="A11" t="str">
        <v>CP6</v>
      </c>
      <c r="B11" s="1">
        <f>1/'GEOMETRIC_MEAN'!Q10</f>
      </c>
      <c r="C11" s="1">
        <f>1/'GEOMETRIC_MEAN'!Q17</f>
      </c>
      <c r="D11" s="1">
        <f>1/'GEOMETRIC_MEAN'!Q23</f>
      </c>
      <c r="E11" s="1">
        <f>1/'GEOMETRIC_MEAN'!Q28</f>
      </c>
      <c r="F11" s="1">
        <f>1/'GEOMETRIC_MEAN'!Q32</f>
      </c>
      <c r="G11">
        <v>1</v>
      </c>
      <c r="H11" s="1">
        <f>'GEOMETRIC_MEAN'!O36</f>
      </c>
      <c r="I11" s="1">
        <f>'GEOMETRIC_MEAN'!O37</f>
      </c>
      <c r="J11" s="1">
        <f>'GEOMETRIC_MEAN'!O38</f>
      </c>
      <c r="K11" s="1">
        <f>SUM(B11:J11)</f>
      </c>
    </row>
    <row r="12">
      <c r="A12" t="str">
        <v>CP7</v>
      </c>
      <c r="B12" s="1">
        <f>1/'GEOMETRIC_MEAN'!Q11</f>
      </c>
      <c r="C12" s="1">
        <f>1/'GEOMETRIC_MEAN'!Q18</f>
      </c>
      <c r="D12" s="1">
        <f>1/'GEOMETRIC_MEAN'!Q24</f>
      </c>
      <c r="E12" s="1">
        <f>1/'GEOMETRIC_MEAN'!Q29</f>
      </c>
      <c r="F12" s="1">
        <f>1/'GEOMETRIC_MEAN'!Q33</f>
      </c>
      <c r="G12" s="1">
        <f>1/'GEOMETRIC_MEAN'!Q36</f>
      </c>
      <c r="H12">
        <v>1</v>
      </c>
      <c r="I12" s="1">
        <f>'GEOMETRIC_MEAN'!O39</f>
      </c>
      <c r="J12" s="1">
        <f>'GEOMETRIC_MEAN'!O40</f>
      </c>
      <c r="K12" s="1">
        <f>SUM(B12:J12)</f>
      </c>
    </row>
    <row r="13">
      <c r="A13" t="str">
        <v>CP8</v>
      </c>
      <c r="B13" s="1">
        <f>1/'GEOMETRIC_MEAN'!Q12</f>
      </c>
      <c r="C13" s="1">
        <f>1/'GEOMETRIC_MEAN'!Q19</f>
      </c>
      <c r="D13" s="1">
        <f>1/'GEOMETRIC_MEAN'!Q25</f>
      </c>
      <c r="E13" s="1">
        <f>1/'GEOMETRIC_MEAN'!Q30</f>
      </c>
      <c r="F13" s="1">
        <f>1/'GEOMETRIC_MEAN'!Q34</f>
      </c>
      <c r="G13" s="1">
        <f>1/'GEOMETRIC_MEAN'!Q37</f>
      </c>
      <c r="H13" s="1">
        <f>1/'GEOMETRIC_MEAN'!Q39</f>
      </c>
      <c r="I13">
        <v>1</v>
      </c>
      <c r="J13" s="1">
        <f>'GEOMETRIC_MEAN'!O41</f>
      </c>
      <c r="K13" s="1">
        <f>SUM(B13:J13)</f>
      </c>
    </row>
    <row r="14">
      <c r="A14" t="str">
        <v>CP9</v>
      </c>
      <c r="B14" s="1">
        <f>1/'GEOMETRIC_MEAN'!Q13</f>
      </c>
      <c r="C14" s="1">
        <f>1/'GEOMETRIC_MEAN'!Q20</f>
      </c>
      <c r="D14" s="1">
        <f>1/'GEOMETRIC_MEAN'!Q26</f>
      </c>
      <c r="E14" s="1">
        <f>1/'GEOMETRIC_MEAN'!Q31</f>
      </c>
      <c r="F14" s="1">
        <f>1/'GEOMETRIC_MEAN'!Q35</f>
      </c>
      <c r="G14" s="1">
        <f>1/'GEOMETRIC_MEAN'!Q38</f>
      </c>
      <c r="H14" s="1">
        <f>1/'GEOMETRIC_MEAN'!Q40</f>
      </c>
      <c r="I14" s="1">
        <f>1/'GEOMETRIC_MEAN'!Q41</f>
      </c>
      <c r="J14">
        <v>1</v>
      </c>
      <c r="K14" s="1">
        <f>SUM(B14:J14)</f>
      </c>
    </row>
    <row r="15">
      <c r="J15" t="str">
        <v>TOTAL</v>
      </c>
      <c r="K15" s="1">
        <f>SUM(K6:K14)</f>
      </c>
    </row>
    <row r="18">
      <c r="A18" t="str">
        <v>MATRIKS TFN — Komponen m (Middle)</v>
      </c>
    </row>
    <row r="19">
      <c r="A19" t="str">
        <v/>
      </c>
      <c r="B19" t="str">
        <v>CP1</v>
      </c>
      <c r="C19" t="str">
        <v>CP2</v>
      </c>
      <c r="D19" t="str">
        <v>CP3</v>
      </c>
      <c r="E19" t="str">
        <v>CP4</v>
      </c>
      <c r="F19" t="str">
        <v>CP5</v>
      </c>
      <c r="G19" t="str">
        <v>CP6</v>
      </c>
      <c r="H19" t="str">
        <v>CP7</v>
      </c>
      <c r="I19" t="str">
        <v>CP8</v>
      </c>
      <c r="J19" t="str">
        <v>CP9</v>
      </c>
      <c r="K19" t="str">
        <v>Σ Baris</v>
      </c>
    </row>
    <row r="20">
      <c r="A20" t="str">
        <v>CP1</v>
      </c>
      <c r="B20">
        <v>1</v>
      </c>
      <c r="C20" s="1">
        <f>'GEOMETRIC_MEAN'!P6</f>
      </c>
      <c r="D20" s="1">
        <f>'GEOMETRIC_MEAN'!P7</f>
      </c>
      <c r="E20" s="1">
        <f>'GEOMETRIC_MEAN'!P8</f>
      </c>
      <c r="F20" s="1">
        <f>'GEOMETRIC_MEAN'!P9</f>
      </c>
      <c r="G20" s="1">
        <f>'GEOMETRIC_MEAN'!P10</f>
      </c>
      <c r="H20" s="1">
        <f>'GEOMETRIC_MEAN'!P11</f>
      </c>
      <c r="I20" s="1">
        <f>'GEOMETRIC_MEAN'!P12</f>
      </c>
      <c r="J20" s="1">
        <f>'GEOMETRIC_MEAN'!P13</f>
      </c>
      <c r="K20" s="1">
        <f>SUM(B20:J20)</f>
      </c>
    </row>
    <row r="21">
      <c r="A21" t="str">
        <v>CP2</v>
      </c>
      <c r="B21" s="1">
        <f>1/'GEOMETRIC_MEAN'!P6</f>
      </c>
      <c r="C21">
        <v>1</v>
      </c>
      <c r="D21" s="1">
        <f>'GEOMETRIC_MEAN'!P14</f>
      </c>
      <c r="E21" s="1">
        <f>'GEOMETRIC_MEAN'!P15</f>
      </c>
      <c r="F21" s="1">
        <f>'GEOMETRIC_MEAN'!P16</f>
      </c>
      <c r="G21" s="1">
        <f>'GEOMETRIC_MEAN'!P17</f>
      </c>
      <c r="H21" s="1">
        <f>'GEOMETRIC_MEAN'!P18</f>
      </c>
      <c r="I21" s="1">
        <f>'GEOMETRIC_MEAN'!P19</f>
      </c>
      <c r="J21" s="1">
        <f>'GEOMETRIC_MEAN'!P20</f>
      </c>
      <c r="K21" s="1">
        <f>SUM(B21:J21)</f>
      </c>
    </row>
    <row r="22">
      <c r="A22" t="str">
        <v>CP3</v>
      </c>
      <c r="B22" s="1">
        <f>1/'GEOMETRIC_MEAN'!P7</f>
      </c>
      <c r="C22" s="1">
        <f>1/'GEOMETRIC_MEAN'!P14</f>
      </c>
      <c r="D22">
        <v>1</v>
      </c>
      <c r="E22" s="1">
        <f>'GEOMETRIC_MEAN'!P21</f>
      </c>
      <c r="F22" s="1">
        <f>'GEOMETRIC_MEAN'!P22</f>
      </c>
      <c r="G22" s="1">
        <f>'GEOMETRIC_MEAN'!P23</f>
      </c>
      <c r="H22" s="1">
        <f>'GEOMETRIC_MEAN'!P24</f>
      </c>
      <c r="I22" s="1">
        <f>'GEOMETRIC_MEAN'!P25</f>
      </c>
      <c r="J22" s="1">
        <f>'GEOMETRIC_MEAN'!P26</f>
      </c>
      <c r="K22" s="1">
        <f>SUM(B22:J22)</f>
      </c>
    </row>
    <row r="23">
      <c r="A23" t="str">
        <v>CP4</v>
      </c>
      <c r="B23" s="1">
        <f>1/'GEOMETRIC_MEAN'!P8</f>
      </c>
      <c r="C23" s="1">
        <f>1/'GEOMETRIC_MEAN'!P15</f>
      </c>
      <c r="D23" s="1">
        <f>1/'GEOMETRIC_MEAN'!P21</f>
      </c>
      <c r="E23">
        <v>1</v>
      </c>
      <c r="F23" s="1">
        <f>'GEOMETRIC_MEAN'!P27</f>
      </c>
      <c r="G23" s="1">
        <f>'GEOMETRIC_MEAN'!P28</f>
      </c>
      <c r="H23" s="1">
        <f>'GEOMETRIC_MEAN'!P29</f>
      </c>
      <c r="I23" s="1">
        <f>'GEOMETRIC_MEAN'!P30</f>
      </c>
      <c r="J23" s="1">
        <f>'GEOMETRIC_MEAN'!P31</f>
      </c>
      <c r="K23" s="1">
        <f>SUM(B23:J23)</f>
      </c>
    </row>
    <row r="24">
      <c r="A24" t="str">
        <v>CP5</v>
      </c>
      <c r="B24" s="1">
        <f>1/'GEOMETRIC_MEAN'!P9</f>
      </c>
      <c r="C24" s="1">
        <f>1/'GEOMETRIC_MEAN'!P16</f>
      </c>
      <c r="D24" s="1">
        <f>1/'GEOMETRIC_MEAN'!P22</f>
      </c>
      <c r="E24" s="1">
        <f>1/'GEOMETRIC_MEAN'!P27</f>
      </c>
      <c r="F24">
        <v>1</v>
      </c>
      <c r="G24" s="1">
        <f>'GEOMETRIC_MEAN'!P32</f>
      </c>
      <c r="H24" s="1">
        <f>'GEOMETRIC_MEAN'!P33</f>
      </c>
      <c r="I24" s="1">
        <f>'GEOMETRIC_MEAN'!P34</f>
      </c>
      <c r="J24" s="1">
        <f>'GEOMETRIC_MEAN'!P35</f>
      </c>
      <c r="K24" s="1">
        <f>SUM(B24:J24)</f>
      </c>
    </row>
    <row r="25">
      <c r="A25" t="str">
        <v>CP6</v>
      </c>
      <c r="B25" s="1">
        <f>1/'GEOMETRIC_MEAN'!P10</f>
      </c>
      <c r="C25" s="1">
        <f>1/'GEOMETRIC_MEAN'!P17</f>
      </c>
      <c r="D25" s="1">
        <f>1/'GEOMETRIC_MEAN'!P23</f>
      </c>
      <c r="E25" s="1">
        <f>1/'GEOMETRIC_MEAN'!P28</f>
      </c>
      <c r="F25" s="1">
        <f>1/'GEOMETRIC_MEAN'!P32</f>
      </c>
      <c r="G25">
        <v>1</v>
      </c>
      <c r="H25" s="1">
        <f>'GEOMETRIC_MEAN'!P36</f>
      </c>
      <c r="I25" s="1">
        <f>'GEOMETRIC_MEAN'!P37</f>
      </c>
      <c r="J25" s="1">
        <f>'GEOMETRIC_MEAN'!P38</f>
      </c>
      <c r="K25" s="1">
        <f>SUM(B25:J25)</f>
      </c>
    </row>
    <row r="26">
      <c r="A26" t="str">
        <v>CP7</v>
      </c>
      <c r="B26" s="1">
        <f>1/'GEOMETRIC_MEAN'!P11</f>
      </c>
      <c r="C26" s="1">
        <f>1/'GEOMETRIC_MEAN'!P18</f>
      </c>
      <c r="D26" s="1">
        <f>1/'GEOMETRIC_MEAN'!P24</f>
      </c>
      <c r="E26" s="1">
        <f>1/'GEOMETRIC_MEAN'!P29</f>
      </c>
      <c r="F26" s="1">
        <f>1/'GEOMETRIC_MEAN'!P33</f>
      </c>
      <c r="G26" s="1">
        <f>1/'GEOMETRIC_MEAN'!P36</f>
      </c>
      <c r="H26">
        <v>1</v>
      </c>
      <c r="I26" s="1">
        <f>'GEOMETRIC_MEAN'!P39</f>
      </c>
      <c r="J26" s="1">
        <f>'GEOMETRIC_MEAN'!P40</f>
      </c>
      <c r="K26" s="1">
        <f>SUM(B26:J26)</f>
      </c>
    </row>
    <row r="27">
      <c r="A27" t="str">
        <v>CP8</v>
      </c>
      <c r="B27" s="1">
        <f>1/'GEOMETRIC_MEAN'!P12</f>
      </c>
      <c r="C27" s="1">
        <f>1/'GEOMETRIC_MEAN'!P19</f>
      </c>
      <c r="D27" s="1">
        <f>1/'GEOMETRIC_MEAN'!P25</f>
      </c>
      <c r="E27" s="1">
        <f>1/'GEOMETRIC_MEAN'!P30</f>
      </c>
      <c r="F27" s="1">
        <f>1/'GEOMETRIC_MEAN'!P34</f>
      </c>
      <c r="G27" s="1">
        <f>1/'GEOMETRIC_MEAN'!P37</f>
      </c>
      <c r="H27" s="1">
        <f>1/'GEOMETRIC_MEAN'!P39</f>
      </c>
      <c r="I27">
        <v>1</v>
      </c>
      <c r="J27" s="1">
        <f>'GEOMETRIC_MEAN'!P41</f>
      </c>
      <c r="K27" s="1">
        <f>SUM(B27:J27)</f>
      </c>
    </row>
    <row r="28">
      <c r="A28" t="str">
        <v>CP9</v>
      </c>
      <c r="B28" s="1">
        <f>1/'GEOMETRIC_MEAN'!P13</f>
      </c>
      <c r="C28" s="1">
        <f>1/'GEOMETRIC_MEAN'!P20</f>
      </c>
      <c r="D28" s="1">
        <f>1/'GEOMETRIC_MEAN'!P26</f>
      </c>
      <c r="E28" s="1">
        <f>1/'GEOMETRIC_MEAN'!P31</f>
      </c>
      <c r="F28" s="1">
        <f>1/'GEOMETRIC_MEAN'!P35</f>
      </c>
      <c r="G28" s="1">
        <f>1/'GEOMETRIC_MEAN'!P38</f>
      </c>
      <c r="H28" s="1">
        <f>1/'GEOMETRIC_MEAN'!P40</f>
      </c>
      <c r="I28" s="1">
        <f>1/'GEOMETRIC_MEAN'!P41</f>
      </c>
      <c r="J28">
        <v>1</v>
      </c>
      <c r="K28" s="1">
        <f>SUM(B28:J28)</f>
      </c>
    </row>
    <row r="29">
      <c r="J29" t="str">
        <v>TOTAL</v>
      </c>
      <c r="K29" s="1">
        <f>SUM(K20:K28)</f>
      </c>
    </row>
    <row r="32">
      <c r="A32" t="str">
        <v>MATRIKS TFN — Komponen u (Upper)</v>
      </c>
    </row>
    <row r="33">
      <c r="A33" t="str">
        <v/>
      </c>
      <c r="B33" t="str">
        <v>CP1</v>
      </c>
      <c r="C33" t="str">
        <v>CP2</v>
      </c>
      <c r="D33" t="str">
        <v>CP3</v>
      </c>
      <c r="E33" t="str">
        <v>CP4</v>
      </c>
      <c r="F33" t="str">
        <v>CP5</v>
      </c>
      <c r="G33" t="str">
        <v>CP6</v>
      </c>
      <c r="H33" t="str">
        <v>CP7</v>
      </c>
      <c r="I33" t="str">
        <v>CP8</v>
      </c>
      <c r="J33" t="str">
        <v>CP9</v>
      </c>
      <c r="K33" t="str">
        <v>Σ Baris</v>
      </c>
    </row>
    <row r="34">
      <c r="A34" t="str">
        <v>CP1</v>
      </c>
      <c r="B34">
        <v>1</v>
      </c>
      <c r="C34" s="1">
        <f>'GEOMETRIC_MEAN'!Q6</f>
      </c>
      <c r="D34" s="1">
        <f>'GEOMETRIC_MEAN'!Q7</f>
      </c>
      <c r="E34" s="1">
        <f>'GEOMETRIC_MEAN'!Q8</f>
      </c>
      <c r="F34" s="1">
        <f>'GEOMETRIC_MEAN'!Q9</f>
      </c>
      <c r="G34" s="1">
        <f>'GEOMETRIC_MEAN'!Q10</f>
      </c>
      <c r="H34" s="1">
        <f>'GEOMETRIC_MEAN'!Q11</f>
      </c>
      <c r="I34" s="1">
        <f>'GEOMETRIC_MEAN'!Q12</f>
      </c>
      <c r="J34" s="1">
        <f>'GEOMETRIC_MEAN'!Q13</f>
      </c>
      <c r="K34" s="1">
        <f>SUM(B34:J34)</f>
      </c>
    </row>
    <row r="35">
      <c r="A35" t="str">
        <v>CP2</v>
      </c>
      <c r="B35" s="1">
        <f>1/'GEOMETRIC_MEAN'!O6</f>
      </c>
      <c r="C35">
        <v>1</v>
      </c>
      <c r="D35" s="1">
        <f>'GEOMETRIC_MEAN'!Q14</f>
      </c>
      <c r="E35" s="1">
        <f>'GEOMETRIC_MEAN'!Q15</f>
      </c>
      <c r="F35" s="1">
        <f>'GEOMETRIC_MEAN'!Q16</f>
      </c>
      <c r="G35" s="1">
        <f>'GEOMETRIC_MEAN'!Q17</f>
      </c>
      <c r="H35" s="1">
        <f>'GEOMETRIC_MEAN'!Q18</f>
      </c>
      <c r="I35" s="1">
        <f>'GEOMETRIC_MEAN'!Q19</f>
      </c>
      <c r="J35" s="1">
        <f>'GEOMETRIC_MEAN'!Q20</f>
      </c>
      <c r="K35" s="1">
        <f>SUM(B35:J35)</f>
      </c>
    </row>
    <row r="36">
      <c r="A36" t="str">
        <v>CP3</v>
      </c>
      <c r="B36" s="1">
        <f>1/'GEOMETRIC_MEAN'!O7</f>
      </c>
      <c r="C36" s="1">
        <f>1/'GEOMETRIC_MEAN'!O14</f>
      </c>
      <c r="D36">
        <v>1</v>
      </c>
      <c r="E36" s="1">
        <f>'GEOMETRIC_MEAN'!Q21</f>
      </c>
      <c r="F36" s="1">
        <f>'GEOMETRIC_MEAN'!Q22</f>
      </c>
      <c r="G36" s="1">
        <f>'GEOMETRIC_MEAN'!Q23</f>
      </c>
      <c r="H36" s="1">
        <f>'GEOMETRIC_MEAN'!Q24</f>
      </c>
      <c r="I36" s="1">
        <f>'GEOMETRIC_MEAN'!Q25</f>
      </c>
      <c r="J36" s="1">
        <f>'GEOMETRIC_MEAN'!Q26</f>
      </c>
      <c r="K36" s="1">
        <f>SUM(B36:J36)</f>
      </c>
    </row>
    <row r="37">
      <c r="A37" t="str">
        <v>CP4</v>
      </c>
      <c r="B37" s="1">
        <f>1/'GEOMETRIC_MEAN'!O8</f>
      </c>
      <c r="C37" s="1">
        <f>1/'GEOMETRIC_MEAN'!O15</f>
      </c>
      <c r="D37" s="1">
        <f>1/'GEOMETRIC_MEAN'!O21</f>
      </c>
      <c r="E37">
        <v>1</v>
      </c>
      <c r="F37" s="1">
        <f>'GEOMETRIC_MEAN'!Q27</f>
      </c>
      <c r="G37" s="1">
        <f>'GEOMETRIC_MEAN'!Q28</f>
      </c>
      <c r="H37" s="1">
        <f>'GEOMETRIC_MEAN'!Q29</f>
      </c>
      <c r="I37" s="1">
        <f>'GEOMETRIC_MEAN'!Q30</f>
      </c>
      <c r="J37" s="1">
        <f>'GEOMETRIC_MEAN'!Q31</f>
      </c>
      <c r="K37" s="1">
        <f>SUM(B37:J37)</f>
      </c>
    </row>
    <row r="38">
      <c r="A38" t="str">
        <v>CP5</v>
      </c>
      <c r="B38" s="1">
        <f>1/'GEOMETRIC_MEAN'!O9</f>
      </c>
      <c r="C38" s="1">
        <f>1/'GEOMETRIC_MEAN'!O16</f>
      </c>
      <c r="D38" s="1">
        <f>1/'GEOMETRIC_MEAN'!O22</f>
      </c>
      <c r="E38" s="1">
        <f>1/'GEOMETRIC_MEAN'!O27</f>
      </c>
      <c r="F38">
        <v>1</v>
      </c>
      <c r="G38" s="1">
        <f>'GEOMETRIC_MEAN'!Q32</f>
      </c>
      <c r="H38" s="1">
        <f>'GEOMETRIC_MEAN'!Q33</f>
      </c>
      <c r="I38" s="1">
        <f>'GEOMETRIC_MEAN'!Q34</f>
      </c>
      <c r="J38" s="1">
        <f>'GEOMETRIC_MEAN'!Q35</f>
      </c>
      <c r="K38" s="1">
        <f>SUM(B38:J38)</f>
      </c>
    </row>
    <row r="39">
      <c r="A39" t="str">
        <v>CP6</v>
      </c>
      <c r="B39" s="1">
        <f>1/'GEOMETRIC_MEAN'!O10</f>
      </c>
      <c r="C39" s="1">
        <f>1/'GEOMETRIC_MEAN'!O17</f>
      </c>
      <c r="D39" s="1">
        <f>1/'GEOMETRIC_MEAN'!O23</f>
      </c>
      <c r="E39" s="1">
        <f>1/'GEOMETRIC_MEAN'!O28</f>
      </c>
      <c r="F39" s="1">
        <f>1/'GEOMETRIC_MEAN'!O32</f>
      </c>
      <c r="G39">
        <v>1</v>
      </c>
      <c r="H39" s="1">
        <f>'GEOMETRIC_MEAN'!Q36</f>
      </c>
      <c r="I39" s="1">
        <f>'GEOMETRIC_MEAN'!Q37</f>
      </c>
      <c r="J39" s="1">
        <f>'GEOMETRIC_MEAN'!Q38</f>
      </c>
      <c r="K39" s="1">
        <f>SUM(B39:J39)</f>
      </c>
    </row>
    <row r="40">
      <c r="A40" t="str">
        <v>CP7</v>
      </c>
      <c r="B40" s="1">
        <f>1/'GEOMETRIC_MEAN'!O11</f>
      </c>
      <c r="C40" s="1">
        <f>1/'GEOMETRIC_MEAN'!O18</f>
      </c>
      <c r="D40" s="1">
        <f>1/'GEOMETRIC_MEAN'!O24</f>
      </c>
      <c r="E40" s="1">
        <f>1/'GEOMETRIC_MEAN'!O29</f>
      </c>
      <c r="F40" s="1">
        <f>1/'GEOMETRIC_MEAN'!O33</f>
      </c>
      <c r="G40" s="1">
        <f>1/'GEOMETRIC_MEAN'!O36</f>
      </c>
      <c r="H40">
        <v>1</v>
      </c>
      <c r="I40" s="1">
        <f>'GEOMETRIC_MEAN'!Q39</f>
      </c>
      <c r="J40" s="1">
        <f>'GEOMETRIC_MEAN'!Q40</f>
      </c>
      <c r="K40" s="1">
        <f>SUM(B40:J40)</f>
      </c>
    </row>
    <row r="41">
      <c r="A41" t="str">
        <v>CP8</v>
      </c>
      <c r="B41" s="1">
        <f>1/'GEOMETRIC_MEAN'!O12</f>
      </c>
      <c r="C41" s="1">
        <f>1/'GEOMETRIC_MEAN'!O19</f>
      </c>
      <c r="D41" s="1">
        <f>1/'GEOMETRIC_MEAN'!O25</f>
      </c>
      <c r="E41" s="1">
        <f>1/'GEOMETRIC_MEAN'!O30</f>
      </c>
      <c r="F41" s="1">
        <f>1/'GEOMETRIC_MEAN'!O34</f>
      </c>
      <c r="G41" s="1">
        <f>1/'GEOMETRIC_MEAN'!O37</f>
      </c>
      <c r="H41" s="1">
        <f>1/'GEOMETRIC_MEAN'!O39</f>
      </c>
      <c r="I41">
        <v>1</v>
      </c>
      <c r="J41" s="1">
        <f>'GEOMETRIC_MEAN'!Q41</f>
      </c>
      <c r="K41" s="1">
        <f>SUM(B41:J41)</f>
      </c>
    </row>
    <row r="42">
      <c r="A42" t="str">
        <v>CP9</v>
      </c>
      <c r="B42" s="1">
        <f>1/'GEOMETRIC_MEAN'!O13</f>
      </c>
      <c r="C42" s="1">
        <f>1/'GEOMETRIC_MEAN'!O20</f>
      </c>
      <c r="D42" s="1">
        <f>1/'GEOMETRIC_MEAN'!O26</f>
      </c>
      <c r="E42" s="1">
        <f>1/'GEOMETRIC_MEAN'!O31</f>
      </c>
      <c r="F42" s="1">
        <f>1/'GEOMETRIC_MEAN'!O35</f>
      </c>
      <c r="G42" s="1">
        <f>1/'GEOMETRIC_MEAN'!O38</f>
      </c>
      <c r="H42" s="1">
        <f>1/'GEOMETRIC_MEAN'!O40</f>
      </c>
      <c r="I42" s="1">
        <f>1/'GEOMETRIC_MEAN'!O41</f>
      </c>
      <c r="J42">
        <v>1</v>
      </c>
      <c r="K42" s="1">
        <f>SUM(B42:J42)</f>
      </c>
    </row>
    <row r="43">
      <c r="J43" t="str">
        <v>TOTAL</v>
      </c>
      <c r="K43" s="1">
        <f>SUM(K34:K42)</f>
      </c>
    </row>
  </sheetData>
  <ignoredErrors>
    <ignoredError numberStoredAsText="1" sqref="A1:L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FUZZY SYNTHETIC EXTENT (FSE) + DEFUZZIFIKASI + BOBOT FINAL</v>
      </c>
    </row>
    <row r="2">
      <c r="A2" t="str">
        <v>Si = (Σ baris_i) ⊗ (Σ total)^(-1)</v>
      </c>
    </row>
    <row r="3">
      <c r="A3" t="str">
        <v>Si_l = Σl_i / ΣΣu | Si_m = Σm_i / ΣΣm | Si_u = Σu_i / ΣΣl</v>
      </c>
    </row>
    <row r="4">
      <c r="A4" t="str">
        <v>Defuzzifikasi CoA: D = (l + m + u) / 3</v>
      </c>
    </row>
    <row r="6">
      <c r="A6" t="str">
        <v>LANGKAH 1: Fuzzy Synthetic Extent</v>
      </c>
    </row>
    <row r="7">
      <c r="A7" t="str">
        <v>Kriteria</v>
      </c>
      <c r="B7" t="str">
        <v>Σl_i</v>
      </c>
      <c r="C7" t="str">
        <v>Σm_i</v>
      </c>
      <c r="D7" t="str">
        <v>Σu_i</v>
      </c>
      <c r="E7" t="str">
        <v>ΣΣl</v>
      </c>
      <c r="F7" t="str">
        <v>ΣΣm</v>
      </c>
      <c r="G7" t="str">
        <v>ΣΣu</v>
      </c>
      <c r="H7" t="str">
        <v>Si_l</v>
      </c>
      <c r="I7" t="str">
        <v>Si_m</v>
      </c>
      <c r="J7" t="str">
        <v>Si_u</v>
      </c>
    </row>
    <row r="8">
      <c r="A8" t="str">
        <v>CP1</v>
      </c>
      <c r="B8" s="1">
        <f>'MATRIKS_TFN'!K6</f>
      </c>
      <c r="C8" s="1">
        <f>'MATRIKS_TFN'!K20</f>
      </c>
      <c r="D8" s="1">
        <f>'MATRIKS_TFN'!K34</f>
      </c>
      <c r="E8" s="1">
        <f>'MATRIKS_TFN'!K15</f>
      </c>
      <c r="F8" s="1">
        <f>'MATRIKS_TFN'!K29</f>
      </c>
      <c r="G8" s="1">
        <f>'MATRIKS_TFN'!K43</f>
      </c>
      <c r="H8" s="2">
        <f>B8/G8</f>
      </c>
      <c r="I8" s="2">
        <f>C8/F8</f>
      </c>
      <c r="J8" s="2">
        <f>D8/E8</f>
      </c>
    </row>
    <row r="9">
      <c r="A9" t="str">
        <v>CP2</v>
      </c>
      <c r="B9" s="1">
        <f>'MATRIKS_TFN'!K7</f>
      </c>
      <c r="C9" s="1">
        <f>'MATRIKS_TFN'!K21</f>
      </c>
      <c r="D9" s="1">
        <f>'MATRIKS_TFN'!K35</f>
      </c>
      <c r="E9" s="1">
        <f>'MATRIKS_TFN'!K15</f>
      </c>
      <c r="F9" s="1">
        <f>'MATRIKS_TFN'!K29</f>
      </c>
      <c r="G9" s="1">
        <f>'MATRIKS_TFN'!K43</f>
      </c>
      <c r="H9" s="2">
        <f>B9/G9</f>
      </c>
      <c r="I9" s="2">
        <f>C9/F9</f>
      </c>
      <c r="J9" s="2">
        <f>D9/E9</f>
      </c>
    </row>
    <row r="10">
      <c r="A10" t="str">
        <v>CP3</v>
      </c>
      <c r="B10" s="1">
        <f>'MATRIKS_TFN'!K8</f>
      </c>
      <c r="C10" s="1">
        <f>'MATRIKS_TFN'!K22</f>
      </c>
      <c r="D10" s="1">
        <f>'MATRIKS_TFN'!K36</f>
      </c>
      <c r="E10" s="1">
        <f>'MATRIKS_TFN'!K15</f>
      </c>
      <c r="F10" s="1">
        <f>'MATRIKS_TFN'!K29</f>
      </c>
      <c r="G10" s="1">
        <f>'MATRIKS_TFN'!K43</f>
      </c>
      <c r="H10" s="2">
        <f>B10/G10</f>
      </c>
      <c r="I10" s="2">
        <f>C10/F10</f>
      </c>
      <c r="J10" s="2">
        <f>D10/E10</f>
      </c>
    </row>
    <row r="11">
      <c r="A11" t="str">
        <v>CP4</v>
      </c>
      <c r="B11" s="1">
        <f>'MATRIKS_TFN'!K9</f>
      </c>
      <c r="C11" s="1">
        <f>'MATRIKS_TFN'!K23</f>
      </c>
      <c r="D11" s="1">
        <f>'MATRIKS_TFN'!K37</f>
      </c>
      <c r="E11" s="1">
        <f>'MATRIKS_TFN'!K15</f>
      </c>
      <c r="F11" s="1">
        <f>'MATRIKS_TFN'!K29</f>
      </c>
      <c r="G11" s="1">
        <f>'MATRIKS_TFN'!K43</f>
      </c>
      <c r="H11" s="2">
        <f>B11/G11</f>
      </c>
      <c r="I11" s="2">
        <f>C11/F11</f>
      </c>
      <c r="J11" s="2">
        <f>D11/E11</f>
      </c>
    </row>
    <row r="12">
      <c r="A12" t="str">
        <v>CP5</v>
      </c>
      <c r="B12" s="1">
        <f>'MATRIKS_TFN'!K10</f>
      </c>
      <c r="C12" s="1">
        <f>'MATRIKS_TFN'!K24</f>
      </c>
      <c r="D12" s="1">
        <f>'MATRIKS_TFN'!K38</f>
      </c>
      <c r="E12" s="1">
        <f>'MATRIKS_TFN'!K15</f>
      </c>
      <c r="F12" s="1">
        <f>'MATRIKS_TFN'!K29</f>
      </c>
      <c r="G12" s="1">
        <f>'MATRIKS_TFN'!K43</f>
      </c>
      <c r="H12" s="2">
        <f>B12/G12</f>
      </c>
      <c r="I12" s="2">
        <f>C12/F12</f>
      </c>
      <c r="J12" s="2">
        <f>D12/E12</f>
      </c>
    </row>
    <row r="13">
      <c r="A13" t="str">
        <v>CP6</v>
      </c>
      <c r="B13" s="1">
        <f>'MATRIKS_TFN'!K11</f>
      </c>
      <c r="C13" s="1">
        <f>'MATRIKS_TFN'!K25</f>
      </c>
      <c r="D13" s="1">
        <f>'MATRIKS_TFN'!K39</f>
      </c>
      <c r="E13" s="1">
        <f>'MATRIKS_TFN'!K15</f>
      </c>
      <c r="F13" s="1">
        <f>'MATRIKS_TFN'!K29</f>
      </c>
      <c r="G13" s="1">
        <f>'MATRIKS_TFN'!K43</f>
      </c>
      <c r="H13" s="2">
        <f>B13/G13</f>
      </c>
      <c r="I13" s="2">
        <f>C13/F13</f>
      </c>
      <c r="J13" s="2">
        <f>D13/E13</f>
      </c>
    </row>
    <row r="14">
      <c r="A14" t="str">
        <v>CP7</v>
      </c>
      <c r="B14" s="1">
        <f>'MATRIKS_TFN'!K12</f>
      </c>
      <c r="C14" s="1">
        <f>'MATRIKS_TFN'!K26</f>
      </c>
      <c r="D14" s="1">
        <f>'MATRIKS_TFN'!K40</f>
      </c>
      <c r="E14" s="1">
        <f>'MATRIKS_TFN'!K15</f>
      </c>
      <c r="F14" s="1">
        <f>'MATRIKS_TFN'!K29</f>
      </c>
      <c r="G14" s="1">
        <f>'MATRIKS_TFN'!K43</f>
      </c>
      <c r="H14" s="2">
        <f>B14/G14</f>
      </c>
      <c r="I14" s="2">
        <f>C14/F14</f>
      </c>
      <c r="J14" s="2">
        <f>D14/E14</f>
      </c>
    </row>
    <row r="15">
      <c r="A15" t="str">
        <v>CP8</v>
      </c>
      <c r="B15" s="1">
        <f>'MATRIKS_TFN'!K13</f>
      </c>
      <c r="C15" s="1">
        <f>'MATRIKS_TFN'!K27</f>
      </c>
      <c r="D15" s="1">
        <f>'MATRIKS_TFN'!K41</f>
      </c>
      <c r="E15" s="1">
        <f>'MATRIKS_TFN'!K15</f>
      </c>
      <c r="F15" s="1">
        <f>'MATRIKS_TFN'!K29</f>
      </c>
      <c r="G15" s="1">
        <f>'MATRIKS_TFN'!K43</f>
      </c>
      <c r="H15" s="2">
        <f>B15/G15</f>
      </c>
      <c r="I15" s="2">
        <f>C15/F15</f>
      </c>
      <c r="J15" s="2">
        <f>D15/E15</f>
      </c>
    </row>
    <row r="16">
      <c r="A16" t="str">
        <v>CP9</v>
      </c>
      <c r="B16" s="1">
        <f>'MATRIKS_TFN'!K14</f>
      </c>
      <c r="C16" s="1">
        <f>'MATRIKS_TFN'!K28</f>
      </c>
      <c r="D16" s="1">
        <f>'MATRIKS_TFN'!K42</f>
      </c>
      <c r="E16" s="1">
        <f>'MATRIKS_TFN'!K15</f>
      </c>
      <c r="F16" s="1">
        <f>'MATRIKS_TFN'!K29</f>
      </c>
      <c r="G16" s="1">
        <f>'MATRIKS_TFN'!K43</f>
      </c>
      <c r="H16" s="2">
        <f>B16/G16</f>
      </c>
      <c r="I16" s="2">
        <f>C16/F16</f>
      </c>
      <c r="J16" s="2">
        <f>D16/E16</f>
      </c>
    </row>
    <row r="19">
      <c r="A19" t="str">
        <v>LANGKAH 2: Defuzzifikasi (Center of Area) + Normalisasi</v>
      </c>
    </row>
    <row r="20">
      <c r="A20" t="str">
        <v>Kriteria</v>
      </c>
      <c r="B20" t="str">
        <v>Si_l</v>
      </c>
      <c r="C20" t="str">
        <v>Si_m</v>
      </c>
      <c r="D20" t="str">
        <v>Si_u</v>
      </c>
      <c r="E20" t="str">
        <v>Defuzzy = (l+m+u)/3</v>
      </c>
      <c r="F20" t="str">
        <v>Bobot Normal</v>
      </c>
      <c r="G20" t="str">
        <v>Bobot %</v>
      </c>
      <c r="H20" t="str">
        <v>Ranking</v>
      </c>
    </row>
    <row r="21">
      <c r="A21" t="str">
        <v>CP1</v>
      </c>
      <c r="B21" s="2">
        <f>H8</f>
      </c>
      <c r="C21" s="2">
        <f>I8</f>
      </c>
      <c r="D21" s="2">
        <f>J8</f>
      </c>
      <c r="E21" s="2">
        <f>(B21+C21+D21)/3</f>
      </c>
      <c r="F21" s="2">
        <f>E21/E30</f>
      </c>
      <c r="G21" s="3">
        <f>F21*100</f>
      </c>
      <c r="H21">
        <f>RANK(F21,F$21:F$29,0)</f>
      </c>
    </row>
    <row r="22">
      <c r="A22" t="str">
        <v>CP2</v>
      </c>
      <c r="B22" s="2">
        <f>H9</f>
      </c>
      <c r="C22" s="2">
        <f>I9</f>
      </c>
      <c r="D22" s="2">
        <f>J9</f>
      </c>
      <c r="E22" s="2">
        <f>(B22+C22+D22)/3</f>
      </c>
      <c r="F22" s="2">
        <f>E22/E30</f>
      </c>
      <c r="G22" s="3">
        <f>F22*100</f>
      </c>
      <c r="H22">
        <f>RANK(F22,F$21:F$29,0)</f>
      </c>
    </row>
    <row r="23">
      <c r="A23" t="str">
        <v>CP3</v>
      </c>
      <c r="B23" s="2">
        <f>H10</f>
      </c>
      <c r="C23" s="2">
        <f>I10</f>
      </c>
      <c r="D23" s="2">
        <f>J10</f>
      </c>
      <c r="E23" s="2">
        <f>(B23+C23+D23)/3</f>
      </c>
      <c r="F23" s="2">
        <f>E23/E30</f>
      </c>
      <c r="G23" s="3">
        <f>F23*100</f>
      </c>
      <c r="H23">
        <f>RANK(F23,F$21:F$29,0)</f>
      </c>
    </row>
    <row r="24">
      <c r="A24" t="str">
        <v>CP4</v>
      </c>
      <c r="B24" s="2">
        <f>H11</f>
      </c>
      <c r="C24" s="2">
        <f>I11</f>
      </c>
      <c r="D24" s="2">
        <f>J11</f>
      </c>
      <c r="E24" s="2">
        <f>(B24+C24+D24)/3</f>
      </c>
      <c r="F24" s="2">
        <f>E24/E30</f>
      </c>
      <c r="G24" s="3">
        <f>F24*100</f>
      </c>
      <c r="H24">
        <f>RANK(F24,F$21:F$29,0)</f>
      </c>
    </row>
    <row r="25">
      <c r="A25" t="str">
        <v>CP5</v>
      </c>
      <c r="B25" s="2">
        <f>H12</f>
      </c>
      <c r="C25" s="2">
        <f>I12</f>
      </c>
      <c r="D25" s="2">
        <f>J12</f>
      </c>
      <c r="E25" s="2">
        <f>(B25+C25+D25)/3</f>
      </c>
      <c r="F25" s="2">
        <f>E25/E30</f>
      </c>
      <c r="G25" s="3">
        <f>F25*100</f>
      </c>
      <c r="H25">
        <f>RANK(F25,F$21:F$29,0)</f>
      </c>
    </row>
    <row r="26">
      <c r="A26" t="str">
        <v>CP6</v>
      </c>
      <c r="B26" s="2">
        <f>H13</f>
      </c>
      <c r="C26" s="2">
        <f>I13</f>
      </c>
      <c r="D26" s="2">
        <f>J13</f>
      </c>
      <c r="E26" s="2">
        <f>(B26+C26+D26)/3</f>
      </c>
      <c r="F26" s="2">
        <f>E26/E30</f>
      </c>
      <c r="G26" s="3">
        <f>F26*100</f>
      </c>
      <c r="H26">
        <f>RANK(F26,F$21:F$29,0)</f>
      </c>
    </row>
    <row r="27">
      <c r="A27" t="str">
        <v>CP7</v>
      </c>
      <c r="B27" s="2">
        <f>H14</f>
      </c>
      <c r="C27" s="2">
        <f>I14</f>
      </c>
      <c r="D27" s="2">
        <f>J14</f>
      </c>
      <c r="E27" s="2">
        <f>(B27+C27+D27)/3</f>
      </c>
      <c r="F27" s="2">
        <f>E27/E30</f>
      </c>
      <c r="G27" s="3">
        <f>F27*100</f>
      </c>
      <c r="H27">
        <f>RANK(F27,F$21:F$29,0)</f>
      </c>
    </row>
    <row r="28">
      <c r="A28" t="str">
        <v>CP8</v>
      </c>
      <c r="B28" s="2">
        <f>H15</f>
      </c>
      <c r="C28" s="2">
        <f>I15</f>
      </c>
      <c r="D28" s="2">
        <f>J15</f>
      </c>
      <c r="E28" s="2">
        <f>(B28+C28+D28)/3</f>
      </c>
      <c r="F28" s="2">
        <f>E28/E30</f>
      </c>
      <c r="G28" s="3">
        <f>F28*100</f>
      </c>
      <c r="H28">
        <f>RANK(F28,F$21:F$29,0)</f>
      </c>
    </row>
    <row r="29">
      <c r="A29" t="str">
        <v>CP9</v>
      </c>
      <c r="B29" s="2">
        <f>H16</f>
      </c>
      <c r="C29" s="2">
        <f>I16</f>
      </c>
      <c r="D29" s="2">
        <f>J16</f>
      </c>
      <c r="E29" s="2">
        <f>(B29+C29+D29)/3</f>
      </c>
      <c r="F29" s="2">
        <f>E29/E30</f>
      </c>
      <c r="G29" s="3">
        <f>F29*100</f>
      </c>
      <c r="H29">
        <f>RANK(F29,F$21:F$29,0)</f>
      </c>
    </row>
    <row r="30">
      <c r="D30" t="str">
        <v>TOTAL</v>
      </c>
      <c r="E30" s="2">
        <f>SUM(E21:E29)</f>
      </c>
    </row>
    <row r="31">
      <c r="E31" t="str">
        <v>Check (harus 1)</v>
      </c>
      <c r="F31" s="2">
        <f>SUM(F21:F29)</f>
      </c>
    </row>
  </sheetData>
  <ignoredErrors>
    <ignoredError numberStoredAsText="1" sqref="A1:K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77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CONSISTENCY RATIO (CR) — Matriks Defuzzified</v>
      </c>
    </row>
    <row r="2">
      <c r="A2" t="str">
        <v>Langkah: Defuzzify TFN → Matriks Crisp → Normalisasi → Bobot → Aw → λmax → CI → CR</v>
      </c>
    </row>
    <row r="3">
      <c r="A3" t="str">
        <v>Defuzzify: D(i,j) = (l+m+u)/3</v>
      </c>
    </row>
    <row r="5">
      <c r="A5" t="str">
        <v>LANGKAH 1: Matriks Crisp (Defuzzified dari TFN)</v>
      </c>
    </row>
    <row r="6">
      <c r="A6" t="str">
        <v/>
      </c>
      <c r="B6" t="str">
        <v>CP1</v>
      </c>
      <c r="C6" t="str">
        <v>CP2</v>
      </c>
      <c r="D6" t="str">
        <v>CP3</v>
      </c>
      <c r="E6" t="str">
        <v>CP4</v>
      </c>
      <c r="F6" t="str">
        <v>CP5</v>
      </c>
      <c r="G6" t="str">
        <v>CP6</v>
      </c>
      <c r="H6" t="str">
        <v>CP7</v>
      </c>
      <c r="I6" t="str">
        <v>CP8</v>
      </c>
      <c r="J6" t="str">
        <v>CP9</v>
      </c>
    </row>
    <row r="7">
      <c r="A7" t="str">
        <v>CP1</v>
      </c>
      <c r="B7">
        <v>1</v>
      </c>
      <c r="C7" s="1">
        <f>('MATRIKS_TFN'!C6+'MATRIKS_TFN'!C20+'MATRIKS_TFN'!C34)/3</f>
      </c>
      <c r="D7" s="1">
        <f>('MATRIKS_TFN'!D6+'MATRIKS_TFN'!D20+'MATRIKS_TFN'!D34)/3</f>
      </c>
      <c r="E7" s="1">
        <f>('MATRIKS_TFN'!E6+'MATRIKS_TFN'!E20+'MATRIKS_TFN'!E34)/3</f>
      </c>
      <c r="F7" s="1">
        <f>('MATRIKS_TFN'!F6+'MATRIKS_TFN'!F20+'MATRIKS_TFN'!F34)/3</f>
      </c>
      <c r="G7" s="1">
        <f>('MATRIKS_TFN'!G6+'MATRIKS_TFN'!G20+'MATRIKS_TFN'!G34)/3</f>
      </c>
      <c r="H7" s="1">
        <f>('MATRIKS_TFN'!H6+'MATRIKS_TFN'!H20+'MATRIKS_TFN'!H34)/3</f>
      </c>
      <c r="I7" s="1">
        <f>('MATRIKS_TFN'!I6+'MATRIKS_TFN'!I20+'MATRIKS_TFN'!I34)/3</f>
      </c>
      <c r="J7" s="1">
        <f>('MATRIKS_TFN'!J6+'MATRIKS_TFN'!J20+'MATRIKS_TFN'!J34)/3</f>
      </c>
    </row>
    <row r="8">
      <c r="A8" t="str">
        <v>CP2</v>
      </c>
      <c r="B8" s="1">
        <f>('MATRIKS_TFN'!B7+'MATRIKS_TFN'!B21+'MATRIKS_TFN'!B35)/3</f>
      </c>
      <c r="C8">
        <v>1</v>
      </c>
      <c r="D8" s="1">
        <f>('MATRIKS_TFN'!D7+'MATRIKS_TFN'!D21+'MATRIKS_TFN'!D35)/3</f>
      </c>
      <c r="E8" s="1">
        <f>('MATRIKS_TFN'!E7+'MATRIKS_TFN'!E21+'MATRIKS_TFN'!E35)/3</f>
      </c>
      <c r="F8" s="1">
        <f>('MATRIKS_TFN'!F7+'MATRIKS_TFN'!F21+'MATRIKS_TFN'!F35)/3</f>
      </c>
      <c r="G8" s="1">
        <f>('MATRIKS_TFN'!G7+'MATRIKS_TFN'!G21+'MATRIKS_TFN'!G35)/3</f>
      </c>
      <c r="H8" s="1">
        <f>('MATRIKS_TFN'!H7+'MATRIKS_TFN'!H21+'MATRIKS_TFN'!H35)/3</f>
      </c>
      <c r="I8" s="1">
        <f>('MATRIKS_TFN'!I7+'MATRIKS_TFN'!I21+'MATRIKS_TFN'!I35)/3</f>
      </c>
      <c r="J8" s="1">
        <f>('MATRIKS_TFN'!J7+'MATRIKS_TFN'!J21+'MATRIKS_TFN'!J35)/3</f>
      </c>
    </row>
    <row r="9">
      <c r="A9" t="str">
        <v>CP3</v>
      </c>
      <c r="B9" s="1">
        <f>('MATRIKS_TFN'!B8+'MATRIKS_TFN'!B22+'MATRIKS_TFN'!B36)/3</f>
      </c>
      <c r="C9" s="1">
        <f>('MATRIKS_TFN'!C8+'MATRIKS_TFN'!C22+'MATRIKS_TFN'!C36)/3</f>
      </c>
      <c r="D9">
        <v>1</v>
      </c>
      <c r="E9" s="1">
        <f>('MATRIKS_TFN'!E8+'MATRIKS_TFN'!E22+'MATRIKS_TFN'!E36)/3</f>
      </c>
      <c r="F9" s="1">
        <f>('MATRIKS_TFN'!F8+'MATRIKS_TFN'!F22+'MATRIKS_TFN'!F36)/3</f>
      </c>
      <c r="G9" s="1">
        <f>('MATRIKS_TFN'!G8+'MATRIKS_TFN'!G22+'MATRIKS_TFN'!G36)/3</f>
      </c>
      <c r="H9" s="1">
        <f>('MATRIKS_TFN'!H8+'MATRIKS_TFN'!H22+'MATRIKS_TFN'!H36)/3</f>
      </c>
      <c r="I9" s="1">
        <f>('MATRIKS_TFN'!I8+'MATRIKS_TFN'!I22+'MATRIKS_TFN'!I36)/3</f>
      </c>
      <c r="J9" s="1">
        <f>('MATRIKS_TFN'!J8+'MATRIKS_TFN'!J22+'MATRIKS_TFN'!J36)/3</f>
      </c>
    </row>
    <row r="10">
      <c r="A10" t="str">
        <v>CP4</v>
      </c>
      <c r="B10" s="1">
        <f>('MATRIKS_TFN'!B9+'MATRIKS_TFN'!B23+'MATRIKS_TFN'!B37)/3</f>
      </c>
      <c r="C10" s="1">
        <f>('MATRIKS_TFN'!C9+'MATRIKS_TFN'!C23+'MATRIKS_TFN'!C37)/3</f>
      </c>
      <c r="D10" s="1">
        <f>('MATRIKS_TFN'!D9+'MATRIKS_TFN'!D23+'MATRIKS_TFN'!D37)/3</f>
      </c>
      <c r="E10">
        <v>1</v>
      </c>
      <c r="F10" s="1">
        <f>('MATRIKS_TFN'!F9+'MATRIKS_TFN'!F23+'MATRIKS_TFN'!F37)/3</f>
      </c>
      <c r="G10" s="1">
        <f>('MATRIKS_TFN'!G9+'MATRIKS_TFN'!G23+'MATRIKS_TFN'!G37)/3</f>
      </c>
      <c r="H10" s="1">
        <f>('MATRIKS_TFN'!H9+'MATRIKS_TFN'!H23+'MATRIKS_TFN'!H37)/3</f>
      </c>
      <c r="I10" s="1">
        <f>('MATRIKS_TFN'!I9+'MATRIKS_TFN'!I23+'MATRIKS_TFN'!I37)/3</f>
      </c>
      <c r="J10" s="1">
        <f>('MATRIKS_TFN'!J9+'MATRIKS_TFN'!J23+'MATRIKS_TFN'!J37)/3</f>
      </c>
    </row>
    <row r="11">
      <c r="A11" t="str">
        <v>CP5</v>
      </c>
      <c r="B11" s="1">
        <f>('MATRIKS_TFN'!B10+'MATRIKS_TFN'!B24+'MATRIKS_TFN'!B38)/3</f>
      </c>
      <c r="C11" s="1">
        <f>('MATRIKS_TFN'!C10+'MATRIKS_TFN'!C24+'MATRIKS_TFN'!C38)/3</f>
      </c>
      <c r="D11" s="1">
        <f>('MATRIKS_TFN'!D10+'MATRIKS_TFN'!D24+'MATRIKS_TFN'!D38)/3</f>
      </c>
      <c r="E11" s="1">
        <f>('MATRIKS_TFN'!E10+'MATRIKS_TFN'!E24+'MATRIKS_TFN'!E38)/3</f>
      </c>
      <c r="F11">
        <v>1</v>
      </c>
      <c r="G11" s="1">
        <f>('MATRIKS_TFN'!G10+'MATRIKS_TFN'!G24+'MATRIKS_TFN'!G38)/3</f>
      </c>
      <c r="H11" s="1">
        <f>('MATRIKS_TFN'!H10+'MATRIKS_TFN'!H24+'MATRIKS_TFN'!H38)/3</f>
      </c>
      <c r="I11" s="1">
        <f>('MATRIKS_TFN'!I10+'MATRIKS_TFN'!I24+'MATRIKS_TFN'!I38)/3</f>
      </c>
      <c r="J11" s="1">
        <f>('MATRIKS_TFN'!J10+'MATRIKS_TFN'!J24+'MATRIKS_TFN'!J38)/3</f>
      </c>
    </row>
    <row r="12">
      <c r="A12" t="str">
        <v>CP6</v>
      </c>
      <c r="B12" s="1">
        <f>('MATRIKS_TFN'!B11+'MATRIKS_TFN'!B25+'MATRIKS_TFN'!B39)/3</f>
      </c>
      <c r="C12" s="1">
        <f>('MATRIKS_TFN'!C11+'MATRIKS_TFN'!C25+'MATRIKS_TFN'!C39)/3</f>
      </c>
      <c r="D12" s="1">
        <f>('MATRIKS_TFN'!D11+'MATRIKS_TFN'!D25+'MATRIKS_TFN'!D39)/3</f>
      </c>
      <c r="E12" s="1">
        <f>('MATRIKS_TFN'!E11+'MATRIKS_TFN'!E25+'MATRIKS_TFN'!E39)/3</f>
      </c>
      <c r="F12" s="1">
        <f>('MATRIKS_TFN'!F11+'MATRIKS_TFN'!F25+'MATRIKS_TFN'!F39)/3</f>
      </c>
      <c r="G12">
        <v>1</v>
      </c>
      <c r="H12" s="1">
        <f>('MATRIKS_TFN'!H11+'MATRIKS_TFN'!H25+'MATRIKS_TFN'!H39)/3</f>
      </c>
      <c r="I12" s="1">
        <f>('MATRIKS_TFN'!I11+'MATRIKS_TFN'!I25+'MATRIKS_TFN'!I39)/3</f>
      </c>
      <c r="J12" s="1">
        <f>('MATRIKS_TFN'!J11+'MATRIKS_TFN'!J25+'MATRIKS_TFN'!J39)/3</f>
      </c>
    </row>
    <row r="13">
      <c r="A13" t="str">
        <v>CP7</v>
      </c>
      <c r="B13" s="1">
        <f>('MATRIKS_TFN'!B12+'MATRIKS_TFN'!B26+'MATRIKS_TFN'!B40)/3</f>
      </c>
      <c r="C13" s="1">
        <f>('MATRIKS_TFN'!C12+'MATRIKS_TFN'!C26+'MATRIKS_TFN'!C40)/3</f>
      </c>
      <c r="D13" s="1">
        <f>('MATRIKS_TFN'!D12+'MATRIKS_TFN'!D26+'MATRIKS_TFN'!D40)/3</f>
      </c>
      <c r="E13" s="1">
        <f>('MATRIKS_TFN'!E12+'MATRIKS_TFN'!E26+'MATRIKS_TFN'!E40)/3</f>
      </c>
      <c r="F13" s="1">
        <f>('MATRIKS_TFN'!F12+'MATRIKS_TFN'!F26+'MATRIKS_TFN'!F40)/3</f>
      </c>
      <c r="G13" s="1">
        <f>('MATRIKS_TFN'!G12+'MATRIKS_TFN'!G26+'MATRIKS_TFN'!G40)/3</f>
      </c>
      <c r="H13">
        <v>1</v>
      </c>
      <c r="I13" s="1">
        <f>('MATRIKS_TFN'!I12+'MATRIKS_TFN'!I26+'MATRIKS_TFN'!I40)/3</f>
      </c>
      <c r="J13" s="1">
        <f>('MATRIKS_TFN'!J12+'MATRIKS_TFN'!J26+'MATRIKS_TFN'!J40)/3</f>
      </c>
    </row>
    <row r="14">
      <c r="A14" t="str">
        <v>CP8</v>
      </c>
      <c r="B14" s="1">
        <f>('MATRIKS_TFN'!B13+'MATRIKS_TFN'!B27+'MATRIKS_TFN'!B41)/3</f>
      </c>
      <c r="C14" s="1">
        <f>('MATRIKS_TFN'!C13+'MATRIKS_TFN'!C27+'MATRIKS_TFN'!C41)/3</f>
      </c>
      <c r="D14" s="1">
        <f>('MATRIKS_TFN'!D13+'MATRIKS_TFN'!D27+'MATRIKS_TFN'!D41)/3</f>
      </c>
      <c r="E14" s="1">
        <f>('MATRIKS_TFN'!E13+'MATRIKS_TFN'!E27+'MATRIKS_TFN'!E41)/3</f>
      </c>
      <c r="F14" s="1">
        <f>('MATRIKS_TFN'!F13+'MATRIKS_TFN'!F27+'MATRIKS_TFN'!F41)/3</f>
      </c>
      <c r="G14" s="1">
        <f>('MATRIKS_TFN'!G13+'MATRIKS_TFN'!G27+'MATRIKS_TFN'!G41)/3</f>
      </c>
      <c r="H14" s="1">
        <f>('MATRIKS_TFN'!H13+'MATRIKS_TFN'!H27+'MATRIKS_TFN'!H41)/3</f>
      </c>
      <c r="I14">
        <v>1</v>
      </c>
      <c r="J14" s="1">
        <f>('MATRIKS_TFN'!J13+'MATRIKS_TFN'!J27+'MATRIKS_TFN'!J41)/3</f>
      </c>
    </row>
    <row r="15">
      <c r="A15" t="str">
        <v>CP9</v>
      </c>
      <c r="B15" s="1">
        <f>('MATRIKS_TFN'!B14+'MATRIKS_TFN'!B28+'MATRIKS_TFN'!B42)/3</f>
      </c>
      <c r="C15" s="1">
        <f>('MATRIKS_TFN'!C14+'MATRIKS_TFN'!C28+'MATRIKS_TFN'!C42)/3</f>
      </c>
      <c r="D15" s="1">
        <f>('MATRIKS_TFN'!D14+'MATRIKS_TFN'!D28+'MATRIKS_TFN'!D42)/3</f>
      </c>
      <c r="E15" s="1">
        <f>('MATRIKS_TFN'!E14+'MATRIKS_TFN'!E28+'MATRIKS_TFN'!E42)/3</f>
      </c>
      <c r="F15" s="1">
        <f>('MATRIKS_TFN'!F14+'MATRIKS_TFN'!F28+'MATRIKS_TFN'!F42)/3</f>
      </c>
      <c r="G15" s="1">
        <f>('MATRIKS_TFN'!G14+'MATRIKS_TFN'!G28+'MATRIKS_TFN'!G42)/3</f>
      </c>
      <c r="H15" s="1">
        <f>('MATRIKS_TFN'!H14+'MATRIKS_TFN'!H28+'MATRIKS_TFN'!H42)/3</f>
      </c>
      <c r="I15" s="1">
        <f>('MATRIKS_TFN'!I14+'MATRIKS_TFN'!I28+'MATRIKS_TFN'!I42)/3</f>
      </c>
      <c r="J15">
        <v>1</v>
      </c>
    </row>
    <row r="17">
      <c r="A17" t="str">
        <v>Jumlah Kolom</v>
      </c>
      <c r="B17" s="1">
        <f>SUM(B7:B15)</f>
      </c>
      <c r="C17" s="1">
        <f>SUM(C7:C15)</f>
      </c>
      <c r="D17" s="1">
        <f>SUM(D7:D15)</f>
      </c>
      <c r="E17" s="1">
        <f>SUM(E7:E15)</f>
      </c>
      <c r="F17" s="1">
        <f>SUM(F7:F15)</f>
      </c>
      <c r="G17" s="1">
        <f>SUM(G7:G15)</f>
      </c>
      <c r="H17" s="1">
        <f>SUM(H7:H15)</f>
      </c>
      <c r="I17" s="1">
        <f>SUM(I7:I15)</f>
      </c>
      <c r="J17" s="1">
        <f>SUM(J7:J15)</f>
      </c>
    </row>
    <row r="20">
      <c r="A20" t="str">
        <v>LANGKAH 2: Normalisasi Kolom</v>
      </c>
    </row>
    <row r="21">
      <c r="A21" t="str">
        <v/>
      </c>
      <c r="B21" t="str">
        <v>CP1</v>
      </c>
      <c r="C21" t="str">
        <v>CP2</v>
      </c>
      <c r="D21" t="str">
        <v>CP3</v>
      </c>
      <c r="E21" t="str">
        <v>CP4</v>
      </c>
      <c r="F21" t="str">
        <v>CP5</v>
      </c>
      <c r="G21" t="str">
        <v>CP6</v>
      </c>
      <c r="H21" t="str">
        <v>CP7</v>
      </c>
      <c r="I21" t="str">
        <v>CP8</v>
      </c>
      <c r="J21" t="str">
        <v>CP9</v>
      </c>
      <c r="K21" t="str">
        <v>Rata-rata (Wi)</v>
      </c>
    </row>
    <row r="22">
      <c r="A22" t="str">
        <v>CP1</v>
      </c>
      <c r="B22" s="1">
        <f>B7/B17</f>
      </c>
      <c r="C22" s="1">
        <f>C7/C17</f>
      </c>
      <c r="D22" s="1">
        <f>D7/D17</f>
      </c>
      <c r="E22" s="1">
        <f>E7/E17</f>
      </c>
      <c r="F22" s="1">
        <f>F7/F17</f>
      </c>
      <c r="G22" s="1">
        <f>G7/G17</f>
      </c>
      <c r="H22" s="1">
        <f>H7/H17</f>
      </c>
      <c r="I22" s="1">
        <f>I7/I17</f>
      </c>
      <c r="J22" s="1">
        <f>J7/J17</f>
      </c>
      <c r="K22" s="2">
        <f>AVERAGE(B22:J22)</f>
      </c>
    </row>
    <row r="23">
      <c r="A23" t="str">
        <v>CP2</v>
      </c>
      <c r="B23" s="1">
        <f>B8/B17</f>
      </c>
      <c r="C23" s="1">
        <f>C8/C17</f>
      </c>
      <c r="D23" s="1">
        <f>D8/D17</f>
      </c>
      <c r="E23" s="1">
        <f>E8/E17</f>
      </c>
      <c r="F23" s="1">
        <f>F8/F17</f>
      </c>
      <c r="G23" s="1">
        <f>G8/G17</f>
      </c>
      <c r="H23" s="1">
        <f>H8/H17</f>
      </c>
      <c r="I23" s="1">
        <f>I8/I17</f>
      </c>
      <c r="J23" s="1">
        <f>J8/J17</f>
      </c>
      <c r="K23" s="2">
        <f>AVERAGE(B23:J23)</f>
      </c>
    </row>
    <row r="24">
      <c r="A24" t="str">
        <v>CP3</v>
      </c>
      <c r="B24" s="1">
        <f>B9/B17</f>
      </c>
      <c r="C24" s="1">
        <f>C9/C17</f>
      </c>
      <c r="D24" s="1">
        <f>D9/D17</f>
      </c>
      <c r="E24" s="1">
        <f>E9/E17</f>
      </c>
      <c r="F24" s="1">
        <f>F9/F17</f>
      </c>
      <c r="G24" s="1">
        <f>G9/G17</f>
      </c>
      <c r="H24" s="1">
        <f>H9/H17</f>
      </c>
      <c r="I24" s="1">
        <f>I9/I17</f>
      </c>
      <c r="J24" s="1">
        <f>J9/J17</f>
      </c>
      <c r="K24" s="2">
        <f>AVERAGE(B24:J24)</f>
      </c>
    </row>
    <row r="25">
      <c r="A25" t="str">
        <v>CP4</v>
      </c>
      <c r="B25" s="1">
        <f>B10/B17</f>
      </c>
      <c r="C25" s="1">
        <f>C10/C17</f>
      </c>
      <c r="D25" s="1">
        <f>D10/D17</f>
      </c>
      <c r="E25" s="1">
        <f>E10/E17</f>
      </c>
      <c r="F25" s="1">
        <f>F10/F17</f>
      </c>
      <c r="G25" s="1">
        <f>G10/G17</f>
      </c>
      <c r="H25" s="1">
        <f>H10/H17</f>
      </c>
      <c r="I25" s="1">
        <f>I10/I17</f>
      </c>
      <c r="J25" s="1">
        <f>J10/J17</f>
      </c>
      <c r="K25" s="2">
        <f>AVERAGE(B25:J25)</f>
      </c>
    </row>
    <row r="26">
      <c r="A26" t="str">
        <v>CP5</v>
      </c>
      <c r="B26" s="1">
        <f>B11/B17</f>
      </c>
      <c r="C26" s="1">
        <f>C11/C17</f>
      </c>
      <c r="D26" s="1">
        <f>D11/D17</f>
      </c>
      <c r="E26" s="1">
        <f>E11/E17</f>
      </c>
      <c r="F26" s="1">
        <f>F11/F17</f>
      </c>
      <c r="G26" s="1">
        <f>G11/G17</f>
      </c>
      <c r="H26" s="1">
        <f>H11/H17</f>
      </c>
      <c r="I26" s="1">
        <f>I11/I17</f>
      </c>
      <c r="J26" s="1">
        <f>J11/J17</f>
      </c>
      <c r="K26" s="2">
        <f>AVERAGE(B26:J26)</f>
      </c>
    </row>
    <row r="27">
      <c r="A27" t="str">
        <v>CP6</v>
      </c>
      <c r="B27" s="1">
        <f>B12/B17</f>
      </c>
      <c r="C27" s="1">
        <f>C12/C17</f>
      </c>
      <c r="D27" s="1">
        <f>D12/D17</f>
      </c>
      <c r="E27" s="1">
        <f>E12/E17</f>
      </c>
      <c r="F27" s="1">
        <f>F12/F17</f>
      </c>
      <c r="G27" s="1">
        <f>G12/G17</f>
      </c>
      <c r="H27" s="1">
        <f>H12/H17</f>
      </c>
      <c r="I27" s="1">
        <f>I12/I17</f>
      </c>
      <c r="J27" s="1">
        <f>J12/J17</f>
      </c>
      <c r="K27" s="2">
        <f>AVERAGE(B27:J27)</f>
      </c>
    </row>
    <row r="28">
      <c r="A28" t="str">
        <v>CP7</v>
      </c>
      <c r="B28" s="1">
        <f>B13/B17</f>
      </c>
      <c r="C28" s="1">
        <f>C13/C17</f>
      </c>
      <c r="D28" s="1">
        <f>D13/D17</f>
      </c>
      <c r="E28" s="1">
        <f>E13/E17</f>
      </c>
      <c r="F28" s="1">
        <f>F13/F17</f>
      </c>
      <c r="G28" s="1">
        <f>G13/G17</f>
      </c>
      <c r="H28" s="1">
        <f>H13/H17</f>
      </c>
      <c r="I28" s="1">
        <f>I13/I17</f>
      </c>
      <c r="J28" s="1">
        <f>J13/J17</f>
      </c>
      <c r="K28" s="2">
        <f>AVERAGE(B28:J28)</f>
      </c>
    </row>
    <row r="29">
      <c r="A29" t="str">
        <v>CP8</v>
      </c>
      <c r="B29" s="1">
        <f>B14/B17</f>
      </c>
      <c r="C29" s="1">
        <f>C14/C17</f>
      </c>
      <c r="D29" s="1">
        <f>D14/D17</f>
      </c>
      <c r="E29" s="1">
        <f>E14/E17</f>
      </c>
      <c r="F29" s="1">
        <f>F14/F17</f>
      </c>
      <c r="G29" s="1">
        <f>G14/G17</f>
      </c>
      <c r="H29" s="1">
        <f>H14/H17</f>
      </c>
      <c r="I29" s="1">
        <f>I14/I17</f>
      </c>
      <c r="J29" s="1">
        <f>J14/J17</f>
      </c>
      <c r="K29" s="2">
        <f>AVERAGE(B29:J29)</f>
      </c>
    </row>
    <row r="30">
      <c r="A30" t="str">
        <v>CP9</v>
      </c>
      <c r="B30" s="1">
        <f>B15/B17</f>
      </c>
      <c r="C30" s="1">
        <f>C15/C17</f>
      </c>
      <c r="D30" s="1">
        <f>D15/D17</f>
      </c>
      <c r="E30" s="1">
        <f>E15/E17</f>
      </c>
      <c r="F30" s="1">
        <f>F15/F17</f>
      </c>
      <c r="G30" s="1">
        <f>G15/G17</f>
      </c>
      <c r="H30" s="1">
        <f>H15/H17</f>
      </c>
      <c r="I30" s="1">
        <f>I15/I17</f>
      </c>
      <c r="J30" s="1">
        <f>J15/J17</f>
      </c>
      <c r="K30" s="2">
        <f>AVERAGE(B30:J30)</f>
      </c>
    </row>
    <row r="32">
      <c r="J32" t="str">
        <v>Total Wi</v>
      </c>
      <c r="K32" s="2">
        <f>SUM(K22:K30)</f>
      </c>
    </row>
    <row r="35">
      <c r="A35" t="str">
        <v>LANGKAH 3: Aw = Matriks × Vektor Bobot</v>
      </c>
    </row>
    <row r="36">
      <c r="A36" t="str">
        <v>Kriteria</v>
      </c>
      <c r="B36" t="str">
        <v>Wi (Bobot)</v>
      </c>
      <c r="C36" t="str">
        <v>Aw</v>
      </c>
      <c r="D36" t="str">
        <v>Aw / Wi</v>
      </c>
    </row>
    <row r="37">
      <c r="A37" t="str">
        <v>CP1</v>
      </c>
      <c r="B37" s="2">
        <f>K22</f>
      </c>
      <c r="C37" s="2">
        <f>SUMPRODUCT(B7:J7,$B37:$B45)</f>
      </c>
      <c r="D37" s="1">
        <f>C37/B37</f>
      </c>
    </row>
    <row r="38">
      <c r="A38" t="str">
        <v>CP2</v>
      </c>
      <c r="B38" s="2">
        <f>K23</f>
      </c>
      <c r="C38" s="2">
        <f>SUMPRODUCT(B8:J8,$B37:$B45)</f>
      </c>
      <c r="D38" s="1">
        <f>C38/B38</f>
      </c>
    </row>
    <row r="39">
      <c r="A39" t="str">
        <v>CP3</v>
      </c>
      <c r="B39" s="2">
        <f>K24</f>
      </c>
      <c r="C39" s="2">
        <f>SUMPRODUCT(B9:J9,$B37:$B45)</f>
      </c>
      <c r="D39" s="1">
        <f>C39/B39</f>
      </c>
    </row>
    <row r="40">
      <c r="A40" t="str">
        <v>CP4</v>
      </c>
      <c r="B40" s="2">
        <f>K25</f>
      </c>
      <c r="C40" s="2">
        <f>SUMPRODUCT(B10:J10,$B37:$B45)</f>
      </c>
      <c r="D40" s="1">
        <f>C40/B40</f>
      </c>
    </row>
    <row r="41">
      <c r="A41" t="str">
        <v>CP5</v>
      </c>
      <c r="B41" s="2">
        <f>K26</f>
      </c>
      <c r="C41" s="2">
        <f>SUMPRODUCT(B11:J11,$B37:$B45)</f>
      </c>
      <c r="D41" s="1">
        <f>C41/B41</f>
      </c>
    </row>
    <row r="42">
      <c r="A42" t="str">
        <v>CP6</v>
      </c>
      <c r="B42" s="2">
        <f>K27</f>
      </c>
      <c r="C42" s="2">
        <f>SUMPRODUCT(B12:J12,$B37:$B45)</f>
      </c>
      <c r="D42" s="1">
        <f>C42/B42</f>
      </c>
    </row>
    <row r="43">
      <c r="A43" t="str">
        <v>CP7</v>
      </c>
      <c r="B43" s="2">
        <f>K28</f>
      </c>
      <c r="C43" s="2">
        <f>SUMPRODUCT(B13:J13,$B37:$B45)</f>
      </c>
      <c r="D43" s="1">
        <f>C43/B43</f>
      </c>
    </row>
    <row r="44">
      <c r="A44" t="str">
        <v>CP8</v>
      </c>
      <c r="B44" s="2">
        <f>K29</f>
      </c>
      <c r="C44" s="2">
        <f>SUMPRODUCT(B14:J14,$B37:$B45)</f>
      </c>
      <c r="D44" s="1">
        <f>C44/B44</f>
      </c>
    </row>
    <row r="45">
      <c r="A45" t="str">
        <v>CP9</v>
      </c>
      <c r="B45" s="2">
        <f>K30</f>
      </c>
      <c r="C45" s="2">
        <f>SUMPRODUCT(B15:J15,$B37:$B45)</f>
      </c>
      <c r="D45" s="1">
        <f>C45/B45</f>
      </c>
    </row>
    <row r="48">
      <c r="A48" t="str">
        <v>LANGKAH 4: Perhitungan λmax, CI, CR</v>
      </c>
    </row>
    <row r="49">
      <c r="A49" t="str">
        <v>n (jumlah kriteria)</v>
      </c>
      <c r="B49">
        <v>9</v>
      </c>
    </row>
    <row r="50">
      <c r="A50" t="str">
        <v>λmax</v>
      </c>
      <c r="B50" s="1">
        <f>AVERAGE(D37:D45)</f>
      </c>
    </row>
    <row r="51">
      <c r="A51" t="str">
        <v>CI (Consistency Index)</v>
      </c>
      <c r="B51" s="1">
        <f>(B50-B49)/(B49-1)</f>
      </c>
    </row>
    <row r="52">
      <c r="A52" t="str">
        <v>RI (Random Index)</v>
      </c>
      <c r="B52">
        <v>1.45</v>
      </c>
    </row>
    <row r="53">
      <c r="A53" t="str">
        <v>CR (Consistency Ratio)</v>
      </c>
      <c r="B53" s="1">
        <f>IF(B52=0,0,B51/B52)</f>
      </c>
    </row>
    <row r="55">
      <c r="A55" t="str">
        <v>KESIMPULAN</v>
      </c>
      <c r="B55">
        <f>IF(B53&lt;0.1,"KONSISTEN ✓ (CR &lt; 0.10)","TIDAK KONSISTEN ✗ (CR ≥ 0.10, perlu revisi)")</f>
      </c>
    </row>
    <row r="57">
      <c r="A57" t="str">
        <v>Catatan:</v>
      </c>
    </row>
    <row r="58">
      <c r="A58" t="str">
        <v>• CR &lt; 0.10 → Matriks konsisten</v>
      </c>
    </row>
    <row r="59">
      <c r="A59" t="str">
        <v>• CR ≥ 0.10 → Matriks TIDAK konsisten</v>
      </c>
    </row>
    <row r="60">
      <c r="A60" t="str">
        <v>• RI untuk n=9 adalah 1.45</v>
      </c>
    </row>
    <row r="61">
      <c r="A61" t="str">
        <v>• λmax ideal ≈ n</v>
      </c>
    </row>
    <row r="64">
      <c r="A64" t="str">
        <v>PERBANDINGAN: Bobot CR vs Bobot FSE</v>
      </c>
    </row>
    <row r="65">
      <c r="A65" t="str">
        <v>Kriteria</v>
      </c>
      <c r="B65" t="str">
        <v>Bobot CR (Norm)</v>
      </c>
      <c r="C65" t="str">
        <v>Bobot FSE</v>
      </c>
      <c r="D65" t="str">
        <v>Selisih</v>
      </c>
    </row>
    <row r="66">
      <c r="A66" t="str">
        <v>CP1</v>
      </c>
      <c r="B66" s="2">
        <f>K22</f>
      </c>
      <c r="C66" s="2">
        <f>'FSE_BOBOT'!F21</f>
      </c>
      <c r="D66" s="2">
        <f>ABS(B66-C66)</f>
      </c>
    </row>
    <row r="67">
      <c r="A67" t="str">
        <v>CP2</v>
      </c>
      <c r="B67" s="2">
        <f>K23</f>
      </c>
      <c r="C67" s="2">
        <f>'FSE_BOBOT'!F22</f>
      </c>
      <c r="D67" s="2">
        <f>ABS(B67-C67)</f>
      </c>
    </row>
    <row r="68">
      <c r="A68" t="str">
        <v>CP3</v>
      </c>
      <c r="B68" s="2">
        <f>K24</f>
      </c>
      <c r="C68" s="2">
        <f>'FSE_BOBOT'!F23</f>
      </c>
      <c r="D68" s="2">
        <f>ABS(B68-C68)</f>
      </c>
    </row>
    <row r="69">
      <c r="A69" t="str">
        <v>CP4</v>
      </c>
      <c r="B69" s="2">
        <f>K25</f>
      </c>
      <c r="C69" s="2">
        <f>'FSE_BOBOT'!F24</f>
      </c>
      <c r="D69" s="2">
        <f>ABS(B69-C69)</f>
      </c>
    </row>
    <row r="70">
      <c r="A70" t="str">
        <v>CP5</v>
      </c>
      <c r="B70" s="2">
        <f>K26</f>
      </c>
      <c r="C70" s="2">
        <f>'FSE_BOBOT'!F25</f>
      </c>
      <c r="D70" s="2">
        <f>ABS(B70-C70)</f>
      </c>
    </row>
    <row r="71">
      <c r="A71" t="str">
        <v>CP6</v>
      </c>
      <c r="B71" s="2">
        <f>K27</f>
      </c>
      <c r="C71" s="2">
        <f>'FSE_BOBOT'!F26</f>
      </c>
      <c r="D71" s="2">
        <f>ABS(B71-C71)</f>
      </c>
    </row>
    <row r="72">
      <c r="A72" t="str">
        <v>CP7</v>
      </c>
      <c r="B72" s="2">
        <f>K28</f>
      </c>
      <c r="C72" s="2">
        <f>'FSE_BOBOT'!F27</f>
      </c>
      <c r="D72" s="2">
        <f>ABS(B72-C72)</f>
      </c>
    </row>
    <row r="73">
      <c r="A73" t="str">
        <v>CP8</v>
      </c>
      <c r="B73" s="2">
        <f>K29</f>
      </c>
      <c r="C73" s="2">
        <f>'FSE_BOBOT'!F28</f>
      </c>
      <c r="D73" s="2">
        <f>ABS(B73-C73)</f>
      </c>
    </row>
    <row r="74">
      <c r="A74" t="str">
        <v>CP9</v>
      </c>
      <c r="B74" s="2">
        <f>K30</f>
      </c>
      <c r="C74" s="2">
        <f>'FSE_BOBOT'!F29</f>
      </c>
      <c r="D74" s="2">
        <f>ABS(B74-C74)</f>
      </c>
    </row>
  </sheetData>
  <ignoredErrors>
    <ignoredError numberStoredAsText="1" sqref="A1:L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PANDUAN</vt:lpstr>
      <vt:lpstr>INPUT_SLIDER</vt:lpstr>
      <vt:lpstr>GEOMETRIC_MEAN</vt:lpstr>
      <vt:lpstr>MATRIKS_TFN</vt:lpstr>
      <vt:lpstr>FSE_BOBOT</vt:lpstr>
      <vt:lpstr>KONSISTENSI_CR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